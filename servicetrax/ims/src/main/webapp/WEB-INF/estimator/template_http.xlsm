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</Types>
</file>

<file path=_rels/.rels><?xml version="1.0" encoding="UTF-8" standalone="no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510" codeName="{B7FE6334-C1A2-E50D-BD3D-5F4D41BBC2E3}"/>
  <workbookPr codeName="ThisWorkbook"/>
  <mc:AlternateContent>
    <mc:Choice Requires="x15">
      <x15ac:absPath xmlns:x15ac="http://schemas.microsoft.com/office/spreadsheetml/2010/11/ac" url="/Users/dave/kettle_river_consulting/customers/omni_workspace/workspace/servicetrax/ims/src/main/webapp/WEB-INF/estimator/"/>
    </mc:Choice>
  </mc:AlternateContent>
  <workbookProtection workbookPassword="DAA7" lockStructure="1"/>
  <bookViews>
    <workbookView xWindow="160" yWindow="460" windowWidth="22660" windowHeight="15760" tabRatio="900" firstSheet="1" activeTab="1"/>
  </bookViews>
  <sheets>
    <sheet name="OMNI Rate Tables" sheetId="45" state="hidden" r:id="rId1"/>
    <sheet name="Input Specification and Output" sheetId="37" r:id="rId2"/>
    <sheet name="ROC  Execution and Pricing" sheetId="49" state="hidden" r:id="rId3"/>
    <sheet name="Ind Std Execution and Pricing" sheetId="44" state="hidden" r:id="rId4"/>
    <sheet name="Build ROC Job Quote" sheetId="48" state="hidden" r:id="rId5"/>
    <sheet name="Build Industry Std Job Quote" sheetId="2" state="hidden" r:id="rId6"/>
    <sheet name="System Typical BOM Translator" sheetId="21" state="hidden" r:id="rId7"/>
    <sheet name="System Typicals @ Industry Std" sheetId="23" state="hidden" r:id="rId8"/>
    <sheet name="Systems_National Industry Std" sheetId="34" state="hidden" r:id="rId9"/>
    <sheet name="Casegoods_National Industry Std" sheetId="33" state="hidden" r:id="rId10"/>
    <sheet name="Systems Correction Factors" sheetId="36" state="hidden" r:id="rId11"/>
    <sheet name="WS Cluster_Shared Panel Table" sheetId="26" state="hidden" r:id="rId12"/>
    <sheet name="Miscellaneous Parameters" sheetId="4" state="hidden" r:id="rId13"/>
  </sheets>
  <externalReferences>
    <externalReference r:id="rId14"/>
  </externalReferences>
  <definedNames>
    <definedName name="_xlnm._FilterDatabase" localSheetId="9" hidden="1">'Casegoods_National Industry Std'!$B$6:$P$57</definedName>
    <definedName name="_xlnm._FilterDatabase" localSheetId="12" hidden="1">'Miscellaneous Parameters'!$K$3:$K$29</definedName>
    <definedName name="Beltline_Electrical">'Miscellaneous Parameters'!$C$4:$C$5</definedName>
    <definedName name="Bill_Rates">'OMNI Rate Tables'!$B$5:$R$12</definedName>
    <definedName name="Casegoods_Line">'Casegoods_National Industry Std'!$C$7:$C$57</definedName>
    <definedName name="Casegoods_National_Industry_Standards">'Casegoods_National Industry Std'!$C$7:$P$57</definedName>
    <definedName name="City_Bill_Rate_Table">#REF!</definedName>
    <definedName name="City_Cost_Rate_Table">#REF!</definedName>
    <definedName name="City_List">#REF!</definedName>
    <definedName name="Client_List">#REF!</definedName>
    <definedName name="Client_Name">#REF!</definedName>
    <definedName name="Cluster">'Miscellaneous Parameters'!$F$4:$F$7</definedName>
    <definedName name="Cost_Rates">'OMNI Rate Tables'!$B$17:$R$24</definedName>
    <definedName name="Dealer_List">#REF!</definedName>
    <definedName name="Dealer_Name">#REF!</definedName>
    <definedName name="Discount">#REF!</definedName>
    <definedName name="k">'Miscellaneous Parameters'!$K:$K</definedName>
    <definedName name="Metropolitan_Statistical_Area__MSA">#REF!</definedName>
    <definedName name="Mfg_Site_Delivery">'Miscellaneous Parameters'!$B$4:$B$5</definedName>
    <definedName name="Misc_Resources">'Miscellaneous Parameters'!$K$4:$K$13</definedName>
    <definedName name="miscresources">'Miscellaneous Parameters'!$K:$K</definedName>
    <definedName name="miscresrc">'Miscellaneous Parameters'!$K$3:$K$29</definedName>
    <definedName name="OMNI_ROC_List">'Miscellaneous Parameters'!$G$4:$G$11</definedName>
    <definedName name="_xlnm.Print_Area" localSheetId="5">'Build Industry Std Job Quote'!$A$1:$T$37</definedName>
    <definedName name="_xlnm.Print_Area" localSheetId="4">'Build ROC Job Quote'!$A$1:$T$46</definedName>
    <definedName name="_xlnm.Print_Area" localSheetId="9">'Casegoods_National Industry Std'!$B$2:$P$57</definedName>
    <definedName name="_xlnm.Print_Area" localSheetId="3">'Ind Std Execution and Pricing'!$A$1:$N$103</definedName>
    <definedName name="_xlnm.Print_Area" localSheetId="1">'Input Specification and Output'!$A$1:$N$137</definedName>
    <definedName name="_xlnm.Print_Area" localSheetId="2">'ROC  Execution and Pricing'!$A$1:$N$92</definedName>
    <definedName name="_xlnm.Print_Area" localSheetId="6">'System Typical BOM Translator'!$A$1:$J$43</definedName>
    <definedName name="_xlnm.Print_Area" localSheetId="8">'Systems_National Industry Std'!$C$1:$Q$20</definedName>
    <definedName name="_xlnm.Print_Area" localSheetId="11">'WS Cluster_Shared Panel Table'!$A$1:$AD$101</definedName>
    <definedName name="ROC_CF_Lookup">'Miscellaneous Parameters'!$H$4:$I$11</definedName>
    <definedName name="Selected_Job_Site_City">#REF!</definedName>
    <definedName name="Service_Provider_List">#REF!</definedName>
    <definedName name="Service_Provider_Name">#REF!</definedName>
    <definedName name="Shared_Panel_Adjustment_Table">'WS Cluster_Shared Panel Table'!$Q$6:$AD$21</definedName>
    <definedName name="Site_Conditions">'Miscellaneous Parameters'!$D$4:$D$5</definedName>
    <definedName name="Site_Delivery_Casegoods" localSheetId="4">'Build ROC Job Quote'!$E$5</definedName>
    <definedName name="Site_Delivery_Casegoods">'Build Industry Std Job Quote'!$E$5</definedName>
    <definedName name="Site_Delivery_Systems" localSheetId="4">'Build ROC Job Quote'!$E$4</definedName>
    <definedName name="Site_Delivery_Systems">'Build Industry Std Job Quote'!$E$4</definedName>
    <definedName name="Site_Move_Stage_Factors">'Miscellaneous Parameters'!$D$4:$E$5</definedName>
    <definedName name="System_Line">'Systems Correction Factors'!$B$5:$B$52</definedName>
    <definedName name="System_Line_Correction_Factors">'Systems Correction Factors'!$B$5:$R$52</definedName>
    <definedName name="Systems_National_Industry_Standards">'Systems_National Industry Std'!$B$7:$Q$20</definedName>
    <definedName name="Tax_Rate">'Input Specification and Output'!#REF!</definedName>
    <definedName name="Tax_Table">'Miscellaneous Parameters'!$L$4:$L$104</definedName>
    <definedName name="Taxable_Status">'Miscellaneous Parameters'!$M$4:$M$5</definedName>
    <definedName name="Typical_1_Qty">'System Typical BOM Translator'!$D$6</definedName>
    <definedName name="Typical_2_Qty">'System Typical BOM Translator'!$E$6</definedName>
    <definedName name="Typical_3_Qty">'System Typical BOM Translator'!$F$6</definedName>
    <definedName name="Typical_4_Qty">'System Typical BOM Translator'!$G$6</definedName>
    <definedName name="Typical_5_Qty">'System Typical BOM Translator'!$H$6</definedName>
    <definedName name="Typical_6_Qty">'System Typical BOM Translator'!$I$6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34" l="1"/>
  <c r="F10" i="34"/>
  <c r="E10" i="34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C14" i="45"/>
  <c r="C3" i="45"/>
  <c r="D3" i="45"/>
  <c r="E3" i="45"/>
  <c r="F3" i="45"/>
  <c r="G3" i="45"/>
  <c r="H3" i="45"/>
  <c r="I3" i="45"/>
  <c r="J3" i="45"/>
  <c r="K3" i="45"/>
  <c r="L3" i="45"/>
  <c r="M3" i="45"/>
  <c r="N3" i="45"/>
  <c r="O3" i="45"/>
  <c r="P3" i="45"/>
  <c r="Q3" i="45"/>
  <c r="R3" i="45"/>
  <c r="K71" i="37"/>
  <c r="J71" i="37"/>
  <c r="I134" i="37"/>
  <c r="K134" i="37"/>
  <c r="L20" i="44"/>
  <c r="D21" i="2"/>
  <c r="E5" i="2"/>
  <c r="E21" i="2"/>
  <c r="D22" i="2"/>
  <c r="E22" i="2"/>
  <c r="D23" i="2"/>
  <c r="E23" i="2"/>
  <c r="G23" i="2"/>
  <c r="D24" i="2"/>
  <c r="E24" i="2"/>
  <c r="D25" i="2"/>
  <c r="E25" i="2"/>
  <c r="G25" i="2"/>
  <c r="D26" i="2"/>
  <c r="E26" i="2"/>
  <c r="D27" i="2"/>
  <c r="E27" i="2"/>
  <c r="D28" i="2"/>
  <c r="E28" i="2"/>
  <c r="D29" i="2"/>
  <c r="E29" i="2"/>
  <c r="D30" i="2"/>
  <c r="E30" i="2"/>
  <c r="D31" i="2"/>
  <c r="E31" i="2"/>
  <c r="G31" i="2"/>
  <c r="D32" i="2"/>
  <c r="E32" i="2"/>
  <c r="G32" i="2"/>
  <c r="D33" i="2"/>
  <c r="E33" i="2"/>
  <c r="G33" i="2"/>
  <c r="B1" i="44"/>
  <c r="L73" i="44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L74" i="44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75" i="44"/>
  <c r="E7" i="2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L76" i="44"/>
  <c r="M23" i="2"/>
  <c r="M24" i="2"/>
  <c r="M25" i="2"/>
  <c r="M26" i="2"/>
  <c r="M27" i="2"/>
  <c r="M28" i="2"/>
  <c r="M29" i="2"/>
  <c r="M30" i="2"/>
  <c r="M31" i="2"/>
  <c r="M32" i="2"/>
  <c r="M33" i="2"/>
  <c r="L77" i="44"/>
  <c r="D9" i="2"/>
  <c r="O21" i="2"/>
  <c r="O22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P32" i="2"/>
  <c r="N33" i="2"/>
  <c r="O33" i="2"/>
  <c r="P33" i="2"/>
  <c r="L78" i="44"/>
  <c r="Q22" i="2"/>
  <c r="S22" i="2"/>
  <c r="Q23" i="2"/>
  <c r="S23" i="2"/>
  <c r="Q24" i="2"/>
  <c r="S24" i="2"/>
  <c r="Q25" i="2"/>
  <c r="S25" i="2"/>
  <c r="Q26" i="2"/>
  <c r="S26" i="2"/>
  <c r="Q27" i="2"/>
  <c r="S27" i="2"/>
  <c r="Q28" i="2"/>
  <c r="S28" i="2"/>
  <c r="Q29" i="2"/>
  <c r="S29" i="2"/>
  <c r="Q30" i="2"/>
  <c r="S30" i="2"/>
  <c r="Q31" i="2"/>
  <c r="S31" i="2"/>
  <c r="Q32" i="2"/>
  <c r="S32" i="2"/>
  <c r="Q33" i="2"/>
  <c r="S33" i="2"/>
  <c r="L79" i="44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L80" i="44"/>
  <c r="D14" i="2"/>
  <c r="E4" i="2"/>
  <c r="L14" i="2"/>
  <c r="G14" i="2"/>
  <c r="F36" i="44"/>
  <c r="H14" i="2"/>
  <c r="F11" i="44"/>
  <c r="F37" i="44"/>
  <c r="F38" i="44"/>
  <c r="E6" i="21"/>
  <c r="E14" i="2"/>
  <c r="F5" i="44"/>
  <c r="E7" i="21"/>
  <c r="E51" i="21"/>
  <c r="E13" i="21"/>
  <c r="E14" i="21"/>
  <c r="E9" i="21"/>
  <c r="E64" i="21"/>
  <c r="E16" i="21"/>
  <c r="E17" i="21"/>
  <c r="E18" i="21"/>
  <c r="E19" i="21"/>
  <c r="E20" i="21"/>
  <c r="E21" i="21"/>
  <c r="E22" i="21"/>
  <c r="E23" i="21"/>
  <c r="E24" i="21"/>
  <c r="E25" i="21"/>
  <c r="E26" i="21"/>
  <c r="F39" i="44"/>
  <c r="F40" i="44"/>
  <c r="O14" i="2"/>
  <c r="F41" i="44"/>
  <c r="F42" i="44"/>
  <c r="F43" i="44"/>
  <c r="F67" i="44"/>
  <c r="D13" i="2"/>
  <c r="G13" i="2"/>
  <c r="E10" i="44"/>
  <c r="E36" i="44"/>
  <c r="E37" i="44"/>
  <c r="L13" i="2"/>
  <c r="E12" i="44"/>
  <c r="E38" i="44"/>
  <c r="D7" i="21"/>
  <c r="D46" i="21"/>
  <c r="D6" i="21"/>
  <c r="E13" i="2"/>
  <c r="E5" i="44"/>
  <c r="D14" i="21"/>
  <c r="D13" i="21"/>
  <c r="D9" i="21"/>
  <c r="D64" i="21"/>
  <c r="D16" i="21"/>
  <c r="D17" i="21"/>
  <c r="D18" i="21"/>
  <c r="D19" i="21"/>
  <c r="D20" i="21"/>
  <c r="D21" i="21"/>
  <c r="D22" i="21"/>
  <c r="D23" i="21"/>
  <c r="D24" i="21"/>
  <c r="D25" i="21"/>
  <c r="D26" i="21"/>
  <c r="E39" i="44"/>
  <c r="E40" i="44"/>
  <c r="E41" i="44"/>
  <c r="E42" i="44"/>
  <c r="E43" i="44"/>
  <c r="E67" i="44"/>
  <c r="D15" i="2"/>
  <c r="G15" i="2"/>
  <c r="G10" i="44"/>
  <c r="G36" i="44"/>
  <c r="H15" i="2"/>
  <c r="G11" i="44"/>
  <c r="G37" i="44"/>
  <c r="L15" i="2"/>
  <c r="G12" i="44"/>
  <c r="G38" i="44"/>
  <c r="F6" i="21"/>
  <c r="E15" i="2"/>
  <c r="G5" i="44"/>
  <c r="I15" i="2"/>
  <c r="J15" i="2"/>
  <c r="K15" i="2"/>
  <c r="G13" i="44"/>
  <c r="G39" i="44"/>
  <c r="F7" i="21"/>
  <c r="F51" i="21"/>
  <c r="F13" i="21"/>
  <c r="F14" i="21"/>
  <c r="F9" i="21"/>
  <c r="F64" i="21"/>
  <c r="F16" i="21"/>
  <c r="F17" i="21"/>
  <c r="F18" i="21"/>
  <c r="F19" i="21"/>
  <c r="F20" i="21"/>
  <c r="F21" i="21"/>
  <c r="F22" i="21"/>
  <c r="F23" i="21"/>
  <c r="F24" i="21"/>
  <c r="F25" i="21"/>
  <c r="F26" i="21"/>
  <c r="G40" i="44"/>
  <c r="G41" i="44"/>
  <c r="G42" i="44"/>
  <c r="G43" i="44"/>
  <c r="G67" i="44"/>
  <c r="D16" i="2"/>
  <c r="G16" i="2"/>
  <c r="H36" i="44"/>
  <c r="H37" i="44"/>
  <c r="L16" i="2"/>
  <c r="H12" i="44"/>
  <c r="H38" i="44"/>
  <c r="G6" i="21"/>
  <c r="E16" i="2"/>
  <c r="I16" i="2"/>
  <c r="J16" i="2"/>
  <c r="K16" i="2"/>
  <c r="H13" i="44"/>
  <c r="H39" i="44"/>
  <c r="G7" i="21"/>
  <c r="G51" i="21"/>
  <c r="G53" i="21"/>
  <c r="G13" i="21"/>
  <c r="G14" i="21"/>
  <c r="G9" i="21"/>
  <c r="G64" i="21"/>
  <c r="G16" i="21"/>
  <c r="G17" i="21"/>
  <c r="G18" i="21"/>
  <c r="G19" i="21"/>
  <c r="G36" i="21"/>
  <c r="G68" i="21"/>
  <c r="G20" i="21"/>
  <c r="G21" i="21"/>
  <c r="G38" i="21"/>
  <c r="G70" i="21"/>
  <c r="G22" i="21"/>
  <c r="G23" i="21"/>
  <c r="G40" i="21"/>
  <c r="G72" i="21"/>
  <c r="G24" i="21"/>
  <c r="G25" i="21"/>
  <c r="G42" i="21"/>
  <c r="G74" i="21"/>
  <c r="G26" i="21"/>
  <c r="H40" i="44"/>
  <c r="H41" i="44"/>
  <c r="R16" i="2"/>
  <c r="H42" i="44"/>
  <c r="H43" i="44"/>
  <c r="H67" i="44"/>
  <c r="D17" i="2"/>
  <c r="G17" i="2"/>
  <c r="I10" i="44"/>
  <c r="I36" i="44"/>
  <c r="I37" i="44"/>
  <c r="L17" i="2"/>
  <c r="I12" i="44"/>
  <c r="I38" i="44"/>
  <c r="H6" i="21"/>
  <c r="E17" i="2"/>
  <c r="I5" i="44"/>
  <c r="I17" i="2"/>
  <c r="J17" i="2"/>
  <c r="K17" i="2"/>
  <c r="I13" i="44"/>
  <c r="I39" i="44"/>
  <c r="H7" i="21"/>
  <c r="H51" i="21"/>
  <c r="H13" i="21"/>
  <c r="H14" i="21"/>
  <c r="H9" i="21"/>
  <c r="H64" i="21"/>
  <c r="H16" i="21"/>
  <c r="H17" i="21"/>
  <c r="H18" i="21"/>
  <c r="H19" i="21"/>
  <c r="H20" i="21"/>
  <c r="H21" i="21"/>
  <c r="H22" i="21"/>
  <c r="H23" i="21"/>
  <c r="H24" i="21"/>
  <c r="H25" i="21"/>
  <c r="H26" i="21"/>
  <c r="I40" i="44"/>
  <c r="I41" i="44"/>
  <c r="I42" i="44"/>
  <c r="I43" i="44"/>
  <c r="I67" i="44"/>
  <c r="D18" i="2"/>
  <c r="G18" i="2"/>
  <c r="J10" i="44"/>
  <c r="J36" i="44"/>
  <c r="J37" i="44"/>
  <c r="L18" i="2"/>
  <c r="J12" i="44"/>
  <c r="J38" i="44"/>
  <c r="I6" i="21"/>
  <c r="E18" i="2"/>
  <c r="J5" i="44"/>
  <c r="I18" i="2"/>
  <c r="J18" i="2"/>
  <c r="J39" i="44"/>
  <c r="I7" i="21"/>
  <c r="I51" i="21"/>
  <c r="I13" i="21"/>
  <c r="I30" i="21"/>
  <c r="I14" i="21"/>
  <c r="I9" i="21"/>
  <c r="I64" i="21"/>
  <c r="I16" i="21"/>
  <c r="I17" i="21"/>
  <c r="I34" i="21"/>
  <c r="I66" i="21"/>
  <c r="I18" i="21"/>
  <c r="I35" i="21"/>
  <c r="I67" i="21"/>
  <c r="I19" i="21"/>
  <c r="I36" i="21"/>
  <c r="I68" i="21"/>
  <c r="I20" i="21"/>
  <c r="I37" i="21"/>
  <c r="I69" i="21"/>
  <c r="I21" i="21"/>
  <c r="I38" i="21"/>
  <c r="I70" i="21"/>
  <c r="I22" i="21"/>
  <c r="I39" i="21"/>
  <c r="I71" i="21"/>
  <c r="I23" i="21"/>
  <c r="I40" i="21"/>
  <c r="I72" i="21"/>
  <c r="I24" i="21"/>
  <c r="I41" i="21"/>
  <c r="I73" i="21"/>
  <c r="I25" i="21"/>
  <c r="I42" i="21"/>
  <c r="I74" i="21"/>
  <c r="I26" i="21"/>
  <c r="I43" i="21"/>
  <c r="I75" i="21"/>
  <c r="J40" i="44"/>
  <c r="J41" i="44"/>
  <c r="J42" i="44"/>
  <c r="J43" i="44"/>
  <c r="J67" i="44"/>
  <c r="L36" i="44"/>
  <c r="L37" i="44"/>
  <c r="L38" i="44"/>
  <c r="L39" i="44"/>
  <c r="L40" i="44"/>
  <c r="L41" i="44"/>
  <c r="L42" i="44"/>
  <c r="L43" i="44"/>
  <c r="L67" i="44"/>
  <c r="F134" i="37"/>
  <c r="H134" i="37"/>
  <c r="F20" i="44"/>
  <c r="F73" i="44"/>
  <c r="F74" i="44"/>
  <c r="F75" i="44"/>
  <c r="F76" i="44"/>
  <c r="F77" i="44"/>
  <c r="F78" i="44"/>
  <c r="F79" i="44"/>
  <c r="F80" i="44"/>
  <c r="E20" i="44"/>
  <c r="E73" i="44"/>
  <c r="E74" i="44"/>
  <c r="E75" i="44"/>
  <c r="E76" i="44"/>
  <c r="E77" i="44"/>
  <c r="E78" i="44"/>
  <c r="E79" i="44"/>
  <c r="E80" i="44"/>
  <c r="G20" i="44"/>
  <c r="G73" i="44"/>
  <c r="G74" i="44"/>
  <c r="G75" i="44"/>
  <c r="G76" i="44"/>
  <c r="G77" i="44"/>
  <c r="G78" i="44"/>
  <c r="G79" i="44"/>
  <c r="G80" i="44"/>
  <c r="H20" i="44"/>
  <c r="H73" i="44"/>
  <c r="H74" i="44"/>
  <c r="H75" i="44"/>
  <c r="H76" i="44"/>
  <c r="H77" i="44"/>
  <c r="H78" i="44"/>
  <c r="H79" i="44"/>
  <c r="H80" i="44"/>
  <c r="I20" i="44"/>
  <c r="I73" i="44"/>
  <c r="I74" i="44"/>
  <c r="I75" i="44"/>
  <c r="I76" i="44"/>
  <c r="I77" i="44"/>
  <c r="I78" i="44"/>
  <c r="I79" i="44"/>
  <c r="I80" i="44"/>
  <c r="J20" i="44"/>
  <c r="J73" i="44"/>
  <c r="J74" i="44"/>
  <c r="J75" i="44"/>
  <c r="J76" i="44"/>
  <c r="J77" i="44"/>
  <c r="J78" i="44"/>
  <c r="J79" i="44"/>
  <c r="J80" i="44"/>
  <c r="M70" i="37"/>
  <c r="L70" i="37"/>
  <c r="M69" i="37"/>
  <c r="L69" i="37"/>
  <c r="L68" i="37"/>
  <c r="M68" i="37"/>
  <c r="M67" i="37"/>
  <c r="L67" i="37"/>
  <c r="M66" i="37"/>
  <c r="L66" i="37"/>
  <c r="M65" i="37"/>
  <c r="L65" i="37"/>
  <c r="M64" i="37"/>
  <c r="L64" i="37"/>
  <c r="L60" i="37"/>
  <c r="J75" i="37"/>
  <c r="J108" i="37"/>
  <c r="I75" i="37"/>
  <c r="I108" i="37"/>
  <c r="H75" i="37"/>
  <c r="H108" i="37"/>
  <c r="G75" i="37"/>
  <c r="G108" i="37"/>
  <c r="F75" i="37"/>
  <c r="F108" i="37"/>
  <c r="E75" i="37"/>
  <c r="E108" i="37"/>
  <c r="L59" i="37"/>
  <c r="L61" i="37"/>
  <c r="L62" i="37"/>
  <c r="L63" i="37"/>
  <c r="M63" i="37"/>
  <c r="M62" i="37"/>
  <c r="M61" i="37"/>
  <c r="M60" i="37"/>
  <c r="L6" i="36"/>
  <c r="R7" i="36"/>
  <c r="Q7" i="36"/>
  <c r="P7" i="36"/>
  <c r="O7" i="36"/>
  <c r="N7" i="36"/>
  <c r="M7" i="36"/>
  <c r="L7" i="36"/>
  <c r="R6" i="36"/>
  <c r="Q6" i="36"/>
  <c r="P6" i="36"/>
  <c r="O6" i="36"/>
  <c r="N6" i="36"/>
  <c r="M6" i="36"/>
  <c r="D7" i="36"/>
  <c r="R13" i="2"/>
  <c r="D6" i="36"/>
  <c r="R14" i="2"/>
  <c r="S14" i="2"/>
  <c r="F16" i="44"/>
  <c r="R51" i="36"/>
  <c r="Q51" i="36"/>
  <c r="P51" i="36"/>
  <c r="O51" i="36"/>
  <c r="N51" i="36"/>
  <c r="M51" i="36"/>
  <c r="L51" i="36"/>
  <c r="D51" i="36"/>
  <c r="R48" i="36"/>
  <c r="Q48" i="36"/>
  <c r="P48" i="36"/>
  <c r="O48" i="36"/>
  <c r="N48" i="36"/>
  <c r="M48" i="36"/>
  <c r="L48" i="36"/>
  <c r="D48" i="36"/>
  <c r="R44" i="36"/>
  <c r="Q44" i="36"/>
  <c r="P44" i="36"/>
  <c r="O44" i="36"/>
  <c r="N44" i="36"/>
  <c r="M44" i="36"/>
  <c r="L44" i="36"/>
  <c r="D44" i="36"/>
  <c r="E4" i="48"/>
  <c r="L13" i="48"/>
  <c r="D13" i="48"/>
  <c r="E13" i="48"/>
  <c r="E7" i="48"/>
  <c r="D9" i="48"/>
  <c r="D14" i="48"/>
  <c r="G14" i="48"/>
  <c r="E14" i="48"/>
  <c r="F5" i="49"/>
  <c r="R14" i="48"/>
  <c r="D15" i="48"/>
  <c r="O15" i="48"/>
  <c r="E15" i="48"/>
  <c r="D16" i="48"/>
  <c r="H16" i="48"/>
  <c r="H11" i="49"/>
  <c r="E16" i="48"/>
  <c r="H5" i="49"/>
  <c r="D17" i="48"/>
  <c r="G17" i="48"/>
  <c r="I10" i="49"/>
  <c r="E17" i="48"/>
  <c r="D18" i="48"/>
  <c r="G18" i="48"/>
  <c r="J10" i="49"/>
  <c r="E18" i="48"/>
  <c r="R18" i="48"/>
  <c r="F45" i="21"/>
  <c r="F46" i="21"/>
  <c r="F48" i="21"/>
  <c r="G45" i="21"/>
  <c r="G46" i="21"/>
  <c r="G48" i="21"/>
  <c r="F23" i="2"/>
  <c r="F24" i="2"/>
  <c r="F25" i="2"/>
  <c r="F26" i="2"/>
  <c r="F27" i="2"/>
  <c r="F28" i="2"/>
  <c r="F29" i="2"/>
  <c r="F30" i="2"/>
  <c r="F31" i="2"/>
  <c r="F32" i="2"/>
  <c r="F33" i="2"/>
  <c r="E5" i="48"/>
  <c r="D21" i="48"/>
  <c r="E21" i="48"/>
  <c r="D22" i="48"/>
  <c r="E22" i="48"/>
  <c r="Q22" i="48"/>
  <c r="S22" i="48"/>
  <c r="D23" i="48"/>
  <c r="I23" i="48"/>
  <c r="J23" i="48"/>
  <c r="K23" i="48"/>
  <c r="E23" i="48"/>
  <c r="D24" i="48"/>
  <c r="E24" i="48"/>
  <c r="D25" i="48"/>
  <c r="M25" i="48"/>
  <c r="E25" i="48"/>
  <c r="D26" i="48"/>
  <c r="M26" i="48"/>
  <c r="E26" i="48"/>
  <c r="D27" i="48"/>
  <c r="I27" i="48"/>
  <c r="J27" i="48"/>
  <c r="K27" i="48"/>
  <c r="E27" i="48"/>
  <c r="D28" i="48"/>
  <c r="O28" i="48"/>
  <c r="E28" i="48"/>
  <c r="D29" i="48"/>
  <c r="I29" i="48"/>
  <c r="J29" i="48"/>
  <c r="K29" i="48"/>
  <c r="E29" i="48"/>
  <c r="D30" i="48"/>
  <c r="M30" i="48"/>
  <c r="E30" i="48"/>
  <c r="D31" i="48"/>
  <c r="I31" i="48"/>
  <c r="J31" i="48"/>
  <c r="K31" i="48"/>
  <c r="E31" i="48"/>
  <c r="D32" i="48"/>
  <c r="E32" i="48"/>
  <c r="D33" i="48"/>
  <c r="I33" i="48"/>
  <c r="J33" i="48"/>
  <c r="K33" i="48"/>
  <c r="E33" i="48"/>
  <c r="I28" i="48"/>
  <c r="J28" i="48"/>
  <c r="K28" i="48"/>
  <c r="I30" i="48"/>
  <c r="J30" i="48"/>
  <c r="K30" i="48"/>
  <c r="M31" i="48"/>
  <c r="O25" i="48"/>
  <c r="N29" i="48"/>
  <c r="O30" i="48"/>
  <c r="O31" i="48"/>
  <c r="Q27" i="48"/>
  <c r="S27" i="48"/>
  <c r="Q29" i="48"/>
  <c r="S29" i="48"/>
  <c r="Q31" i="48"/>
  <c r="S31" i="48"/>
  <c r="T25" i="48"/>
  <c r="T31" i="48"/>
  <c r="M59" i="37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F23" i="48"/>
  <c r="F29" i="48"/>
  <c r="F33" i="48"/>
  <c r="J5" i="49"/>
  <c r="I5" i="49"/>
  <c r="G5" i="49"/>
  <c r="E5" i="49"/>
  <c r="B1" i="49"/>
  <c r="J36" i="49"/>
  <c r="R52" i="36"/>
  <c r="Q52" i="36"/>
  <c r="P52" i="36"/>
  <c r="O52" i="36"/>
  <c r="N52" i="36"/>
  <c r="M52" i="36"/>
  <c r="L52" i="36"/>
  <c r="R50" i="36"/>
  <c r="Q50" i="36"/>
  <c r="P50" i="36"/>
  <c r="O50" i="36"/>
  <c r="N50" i="36"/>
  <c r="M50" i="36"/>
  <c r="L50" i="36"/>
  <c r="R49" i="36"/>
  <c r="Q49" i="36"/>
  <c r="P49" i="36"/>
  <c r="O49" i="36"/>
  <c r="N49" i="36"/>
  <c r="M49" i="36"/>
  <c r="L49" i="36"/>
  <c r="R47" i="36"/>
  <c r="Q47" i="36"/>
  <c r="P47" i="36"/>
  <c r="O47" i="36"/>
  <c r="N47" i="36"/>
  <c r="M47" i="36"/>
  <c r="L47" i="36"/>
  <c r="R46" i="36"/>
  <c r="Q46" i="36"/>
  <c r="P46" i="36"/>
  <c r="O46" i="36"/>
  <c r="N46" i="36"/>
  <c r="M46" i="36"/>
  <c r="L46" i="36"/>
  <c r="R45" i="36"/>
  <c r="Q45" i="36"/>
  <c r="P45" i="36"/>
  <c r="O45" i="36"/>
  <c r="N45" i="36"/>
  <c r="M45" i="36"/>
  <c r="L45" i="36"/>
  <c r="R43" i="36"/>
  <c r="Q43" i="36"/>
  <c r="P43" i="36"/>
  <c r="O43" i="36"/>
  <c r="N43" i="36"/>
  <c r="M43" i="36"/>
  <c r="L43" i="36"/>
  <c r="R42" i="36"/>
  <c r="Q42" i="36"/>
  <c r="P42" i="36"/>
  <c r="O42" i="36"/>
  <c r="N42" i="36"/>
  <c r="M42" i="36"/>
  <c r="L42" i="36"/>
  <c r="R41" i="36"/>
  <c r="Q41" i="36"/>
  <c r="P41" i="36"/>
  <c r="O41" i="36"/>
  <c r="N41" i="36"/>
  <c r="M41" i="36"/>
  <c r="L41" i="36"/>
  <c r="R40" i="36"/>
  <c r="Q40" i="36"/>
  <c r="P40" i="36"/>
  <c r="O40" i="36"/>
  <c r="N40" i="36"/>
  <c r="M40" i="36"/>
  <c r="L40" i="36"/>
  <c r="R17" i="36"/>
  <c r="Q17" i="36"/>
  <c r="P17" i="36"/>
  <c r="O17" i="36"/>
  <c r="N17" i="36"/>
  <c r="M17" i="36"/>
  <c r="L17" i="36"/>
  <c r="R39" i="36"/>
  <c r="Q39" i="36"/>
  <c r="P39" i="36"/>
  <c r="O39" i="36"/>
  <c r="N39" i="36"/>
  <c r="M39" i="36"/>
  <c r="L39" i="36"/>
  <c r="R38" i="36"/>
  <c r="Q38" i="36"/>
  <c r="P38" i="36"/>
  <c r="O38" i="36"/>
  <c r="N38" i="36"/>
  <c r="M38" i="36"/>
  <c r="L38" i="36"/>
  <c r="R37" i="36"/>
  <c r="Q37" i="36"/>
  <c r="P37" i="36"/>
  <c r="O37" i="36"/>
  <c r="N37" i="36"/>
  <c r="M37" i="36"/>
  <c r="L37" i="36"/>
  <c r="R36" i="36"/>
  <c r="Q36" i="36"/>
  <c r="P36" i="36"/>
  <c r="O36" i="36"/>
  <c r="N36" i="36"/>
  <c r="M36" i="36"/>
  <c r="L36" i="36"/>
  <c r="R35" i="36"/>
  <c r="Q35" i="36"/>
  <c r="P35" i="36"/>
  <c r="O35" i="36"/>
  <c r="N35" i="36"/>
  <c r="M35" i="36"/>
  <c r="L35" i="36"/>
  <c r="R34" i="36"/>
  <c r="Q34" i="36"/>
  <c r="P34" i="36"/>
  <c r="O34" i="36"/>
  <c r="N34" i="36"/>
  <c r="M34" i="36"/>
  <c r="L34" i="36"/>
  <c r="R33" i="36"/>
  <c r="Q33" i="36"/>
  <c r="P33" i="36"/>
  <c r="O33" i="36"/>
  <c r="N33" i="36"/>
  <c r="M33" i="36"/>
  <c r="L33" i="36"/>
  <c r="R32" i="36"/>
  <c r="Q32" i="36"/>
  <c r="P32" i="36"/>
  <c r="O32" i="36"/>
  <c r="N32" i="36"/>
  <c r="M32" i="36"/>
  <c r="L32" i="36"/>
  <c r="R31" i="36"/>
  <c r="Q31" i="36"/>
  <c r="P31" i="36"/>
  <c r="O31" i="36"/>
  <c r="N31" i="36"/>
  <c r="M31" i="36"/>
  <c r="L31" i="36"/>
  <c r="R30" i="36"/>
  <c r="Q30" i="36"/>
  <c r="P30" i="36"/>
  <c r="O30" i="36"/>
  <c r="N30" i="36"/>
  <c r="M30" i="36"/>
  <c r="L30" i="36"/>
  <c r="R29" i="36"/>
  <c r="Q29" i="36"/>
  <c r="P29" i="36"/>
  <c r="O29" i="36"/>
  <c r="N29" i="36"/>
  <c r="M29" i="36"/>
  <c r="L29" i="36"/>
  <c r="R28" i="36"/>
  <c r="Q28" i="36"/>
  <c r="P28" i="36"/>
  <c r="O28" i="36"/>
  <c r="N28" i="36"/>
  <c r="M28" i="36"/>
  <c r="L28" i="36"/>
  <c r="R27" i="36"/>
  <c r="Q27" i="36"/>
  <c r="P27" i="36"/>
  <c r="O27" i="36"/>
  <c r="N27" i="36"/>
  <c r="M27" i="36"/>
  <c r="L27" i="36"/>
  <c r="R26" i="36"/>
  <c r="Q26" i="36"/>
  <c r="P26" i="36"/>
  <c r="O26" i="36"/>
  <c r="N26" i="36"/>
  <c r="M26" i="36"/>
  <c r="L26" i="36"/>
  <c r="R25" i="36"/>
  <c r="Q25" i="36"/>
  <c r="P25" i="36"/>
  <c r="O25" i="36"/>
  <c r="N25" i="36"/>
  <c r="M25" i="36"/>
  <c r="L25" i="36"/>
  <c r="R24" i="36"/>
  <c r="Q24" i="36"/>
  <c r="P24" i="36"/>
  <c r="O24" i="36"/>
  <c r="N24" i="36"/>
  <c r="M24" i="36"/>
  <c r="L24" i="36"/>
  <c r="R23" i="36"/>
  <c r="Q23" i="36"/>
  <c r="P23" i="36"/>
  <c r="O23" i="36"/>
  <c r="N23" i="36"/>
  <c r="M23" i="36"/>
  <c r="L23" i="36"/>
  <c r="R22" i="36"/>
  <c r="Q22" i="36"/>
  <c r="P22" i="36"/>
  <c r="O22" i="36"/>
  <c r="N22" i="36"/>
  <c r="M22" i="36"/>
  <c r="L22" i="36"/>
  <c r="R21" i="36"/>
  <c r="Q21" i="36"/>
  <c r="P21" i="36"/>
  <c r="O21" i="36"/>
  <c r="N21" i="36"/>
  <c r="M21" i="36"/>
  <c r="L21" i="36"/>
  <c r="R20" i="36"/>
  <c r="Q20" i="36"/>
  <c r="P20" i="36"/>
  <c r="O20" i="36"/>
  <c r="N20" i="36"/>
  <c r="M20" i="36"/>
  <c r="L20" i="36"/>
  <c r="R19" i="36"/>
  <c r="Q19" i="36"/>
  <c r="P19" i="36"/>
  <c r="O19" i="36"/>
  <c r="N19" i="36"/>
  <c r="M19" i="36"/>
  <c r="L19" i="36"/>
  <c r="R18" i="36"/>
  <c r="Q18" i="36"/>
  <c r="P18" i="36"/>
  <c r="O18" i="36"/>
  <c r="N18" i="36"/>
  <c r="M18" i="36"/>
  <c r="L18" i="36"/>
  <c r="R16" i="36"/>
  <c r="Q16" i="36"/>
  <c r="P16" i="36"/>
  <c r="O16" i="36"/>
  <c r="N16" i="36"/>
  <c r="M16" i="36"/>
  <c r="L16" i="36"/>
  <c r="R15" i="36"/>
  <c r="Q15" i="36"/>
  <c r="P15" i="36"/>
  <c r="O15" i="36"/>
  <c r="N15" i="36"/>
  <c r="M15" i="36"/>
  <c r="L15" i="36"/>
  <c r="R14" i="36"/>
  <c r="Q14" i="36"/>
  <c r="P14" i="36"/>
  <c r="O14" i="36"/>
  <c r="N14" i="36"/>
  <c r="M14" i="36"/>
  <c r="L14" i="36"/>
  <c r="R13" i="36"/>
  <c r="Q13" i="36"/>
  <c r="P13" i="36"/>
  <c r="O13" i="36"/>
  <c r="N13" i="36"/>
  <c r="M13" i="36"/>
  <c r="L13" i="36"/>
  <c r="R12" i="36"/>
  <c r="Q12" i="36"/>
  <c r="P12" i="36"/>
  <c r="O12" i="36"/>
  <c r="N12" i="36"/>
  <c r="M12" i="36"/>
  <c r="L12" i="36"/>
  <c r="R11" i="36"/>
  <c r="Q11" i="36"/>
  <c r="P11" i="36"/>
  <c r="O11" i="36"/>
  <c r="N11" i="36"/>
  <c r="M11" i="36"/>
  <c r="L11" i="36"/>
  <c r="R10" i="36"/>
  <c r="Q10" i="36"/>
  <c r="P10" i="36"/>
  <c r="O10" i="36"/>
  <c r="N10" i="36"/>
  <c r="M10" i="36"/>
  <c r="L10" i="36"/>
  <c r="R9" i="36"/>
  <c r="Q9" i="36"/>
  <c r="P9" i="36"/>
  <c r="O9" i="36"/>
  <c r="N9" i="36"/>
  <c r="M9" i="36"/>
  <c r="L9" i="36"/>
  <c r="R8" i="36"/>
  <c r="Q8" i="36"/>
  <c r="P8" i="36"/>
  <c r="O8" i="36"/>
  <c r="N8" i="36"/>
  <c r="M8" i="36"/>
  <c r="L8" i="36"/>
  <c r="R5" i="36"/>
  <c r="Q5" i="36"/>
  <c r="P5" i="36"/>
  <c r="O5" i="36"/>
  <c r="N5" i="36"/>
  <c r="M5" i="36"/>
  <c r="L5" i="36"/>
  <c r="C3" i="36"/>
  <c r="D3" i="36"/>
  <c r="E3" i="36"/>
  <c r="F3" i="36"/>
  <c r="G3" i="36"/>
  <c r="H3" i="36"/>
  <c r="I3" i="36"/>
  <c r="J3" i="36"/>
  <c r="K3" i="36"/>
  <c r="L3" i="36"/>
  <c r="M3" i="36"/>
  <c r="N3" i="36"/>
  <c r="O3" i="36"/>
  <c r="P3" i="36"/>
  <c r="Q3" i="36"/>
  <c r="R3" i="36"/>
  <c r="D10" i="36"/>
  <c r="D47" i="36"/>
  <c r="G20" i="34"/>
  <c r="G19" i="34"/>
  <c r="G18" i="34"/>
  <c r="G17" i="34"/>
  <c r="G16" i="34"/>
  <c r="G15" i="34"/>
  <c r="G14" i="34"/>
  <c r="G13" i="34"/>
  <c r="G12" i="34"/>
  <c r="G11" i="34"/>
  <c r="G9" i="34"/>
  <c r="G8" i="34"/>
  <c r="G7" i="34"/>
  <c r="F20" i="34"/>
  <c r="F19" i="34"/>
  <c r="F18" i="34"/>
  <c r="F17" i="34"/>
  <c r="F16" i="34"/>
  <c r="F15" i="34"/>
  <c r="F14" i="34"/>
  <c r="F13" i="34"/>
  <c r="F12" i="34"/>
  <c r="F11" i="34"/>
  <c r="F9" i="34"/>
  <c r="F8" i="34"/>
  <c r="F7" i="34"/>
  <c r="E20" i="34"/>
  <c r="E19" i="34"/>
  <c r="E18" i="34"/>
  <c r="E17" i="34"/>
  <c r="H17" i="34"/>
  <c r="E16" i="34"/>
  <c r="H16" i="34"/>
  <c r="E15" i="34"/>
  <c r="H15" i="34"/>
  <c r="E14" i="34"/>
  <c r="H14" i="34"/>
  <c r="E13" i="34"/>
  <c r="H13" i="34"/>
  <c r="E12" i="34"/>
  <c r="H12" i="34"/>
  <c r="E11" i="34"/>
  <c r="I11" i="34"/>
  <c r="H10" i="34"/>
  <c r="E9" i="34"/>
  <c r="H9" i="34"/>
  <c r="E8" i="34"/>
  <c r="H8" i="34"/>
  <c r="E7" i="34"/>
  <c r="H7" i="34"/>
  <c r="D52" i="36"/>
  <c r="D50" i="36"/>
  <c r="D49" i="36"/>
  <c r="D46" i="36"/>
  <c r="D45" i="36"/>
  <c r="D43" i="36"/>
  <c r="D42" i="36"/>
  <c r="D41" i="36"/>
  <c r="D40" i="36"/>
  <c r="D17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6" i="36"/>
  <c r="D15" i="36"/>
  <c r="D14" i="36"/>
  <c r="D13" i="36"/>
  <c r="D12" i="36"/>
  <c r="D11" i="36"/>
  <c r="D9" i="36"/>
  <c r="D8" i="36"/>
  <c r="H19" i="34"/>
  <c r="L5" i="34"/>
  <c r="L19" i="34"/>
  <c r="H20" i="34"/>
  <c r="J88" i="37"/>
  <c r="I88" i="37"/>
  <c r="H88" i="37"/>
  <c r="G88" i="37"/>
  <c r="J78" i="37"/>
  <c r="I78" i="37"/>
  <c r="H78" i="37"/>
  <c r="G78" i="37"/>
  <c r="J42" i="37"/>
  <c r="I42" i="37"/>
  <c r="H42" i="37"/>
  <c r="G42" i="37"/>
  <c r="F42" i="37"/>
  <c r="E42" i="37"/>
  <c r="J113" i="37"/>
  <c r="I113" i="37"/>
  <c r="H113" i="37"/>
  <c r="G113" i="37"/>
  <c r="F113" i="37"/>
  <c r="E113" i="37"/>
  <c r="J118" i="37"/>
  <c r="I118" i="37"/>
  <c r="H118" i="37"/>
  <c r="G118" i="37"/>
  <c r="E34" i="2"/>
  <c r="L5" i="44"/>
  <c r="Y110" i="23"/>
  <c r="X110" i="23"/>
  <c r="W110" i="23"/>
  <c r="V110" i="23"/>
  <c r="Y92" i="23"/>
  <c r="X92" i="23"/>
  <c r="W92" i="23"/>
  <c r="V92" i="23"/>
  <c r="Y74" i="23"/>
  <c r="X74" i="23"/>
  <c r="W74" i="23"/>
  <c r="V74" i="23"/>
  <c r="Y56" i="23"/>
  <c r="X56" i="23"/>
  <c r="W56" i="23"/>
  <c r="Z56" i="23"/>
  <c r="V56" i="23"/>
  <c r="AA56" i="23"/>
  <c r="J6" i="21"/>
  <c r="E80" i="23"/>
  <c r="N80" i="23"/>
  <c r="D98" i="23"/>
  <c r="M98" i="23"/>
  <c r="I15" i="21"/>
  <c r="I32" i="21"/>
  <c r="H15" i="21"/>
  <c r="H32" i="21"/>
  <c r="G15" i="21"/>
  <c r="G32" i="21"/>
  <c r="F15" i="21"/>
  <c r="F32" i="21"/>
  <c r="E15" i="21"/>
  <c r="E32" i="21"/>
  <c r="D15" i="21"/>
  <c r="I46" i="21"/>
  <c r="I49" i="21"/>
  <c r="H46" i="21"/>
  <c r="H49" i="21"/>
  <c r="D5" i="36"/>
  <c r="D3" i="33"/>
  <c r="E3" i="33"/>
  <c r="F3" i="33"/>
  <c r="G3" i="33"/>
  <c r="H3" i="33"/>
  <c r="I3" i="33"/>
  <c r="J3" i="33"/>
  <c r="K3" i="33"/>
  <c r="L3" i="33"/>
  <c r="M3" i="33"/>
  <c r="N3" i="33"/>
  <c r="O3" i="33"/>
  <c r="P3" i="33"/>
  <c r="I7" i="34"/>
  <c r="I9" i="34"/>
  <c r="I14" i="34"/>
  <c r="I16" i="34"/>
  <c r="I20" i="34"/>
  <c r="I19" i="34"/>
  <c r="J80" i="23"/>
  <c r="S80" i="23"/>
  <c r="J98" i="23"/>
  <c r="S98" i="23"/>
  <c r="D32" i="21"/>
  <c r="C3" i="34"/>
  <c r="D3" i="34"/>
  <c r="E3" i="34"/>
  <c r="F3" i="34"/>
  <c r="G3" i="34"/>
  <c r="H3" i="34"/>
  <c r="I3" i="34"/>
  <c r="J3" i="34"/>
  <c r="K3" i="34"/>
  <c r="L3" i="34"/>
  <c r="M3" i="34"/>
  <c r="N3" i="34"/>
  <c r="O3" i="34"/>
  <c r="P3" i="34"/>
  <c r="Q3" i="34"/>
  <c r="I45" i="21"/>
  <c r="H45" i="21"/>
  <c r="AH21" i="26"/>
  <c r="AH20" i="26"/>
  <c r="AH19" i="26"/>
  <c r="AH18" i="26"/>
  <c r="AH17" i="26"/>
  <c r="AH16" i="26"/>
  <c r="AH15" i="26"/>
  <c r="AH14" i="26"/>
  <c r="AH13" i="26"/>
  <c r="AH12" i="26"/>
  <c r="AH11" i="26"/>
  <c r="AH10" i="26"/>
  <c r="AH9" i="26"/>
  <c r="AH8" i="26"/>
  <c r="AH7" i="26"/>
  <c r="AH6" i="26"/>
  <c r="AG21" i="26"/>
  <c r="AG20" i="26"/>
  <c r="AG19" i="26"/>
  <c r="AG18" i="26"/>
  <c r="AG17" i="26"/>
  <c r="AG16" i="26"/>
  <c r="AG15" i="26"/>
  <c r="AG14" i="26"/>
  <c r="AG13" i="26"/>
  <c r="AG12" i="26"/>
  <c r="AG11" i="26"/>
  <c r="AG10" i="26"/>
  <c r="AG9" i="26"/>
  <c r="AG8" i="26"/>
  <c r="AG7" i="26"/>
  <c r="AG6" i="26"/>
  <c r="AF21" i="26"/>
  <c r="AF20" i="26"/>
  <c r="AF19" i="26"/>
  <c r="AF18" i="26"/>
  <c r="AF17" i="26"/>
  <c r="AF16" i="26"/>
  <c r="AF15" i="26"/>
  <c r="AF14" i="26"/>
  <c r="AF13" i="26"/>
  <c r="AF12" i="26"/>
  <c r="AF11" i="26"/>
  <c r="AF10" i="26"/>
  <c r="AF9" i="26"/>
  <c r="AF8" i="26"/>
  <c r="AF7" i="26"/>
  <c r="AF6" i="26"/>
  <c r="AD21" i="26"/>
  <c r="AD20" i="26"/>
  <c r="AD19" i="26"/>
  <c r="AD18" i="26"/>
  <c r="AD17" i="26"/>
  <c r="AD16" i="26"/>
  <c r="AD15" i="26"/>
  <c r="AD14" i="26"/>
  <c r="AD13" i="26"/>
  <c r="AD12" i="26"/>
  <c r="AD11" i="26"/>
  <c r="AD10" i="26"/>
  <c r="AD9" i="26"/>
  <c r="AD8" i="26"/>
  <c r="AD7" i="26"/>
  <c r="AD6" i="26"/>
  <c r="O83" i="26"/>
  <c r="O79" i="26"/>
  <c r="O75" i="26"/>
  <c r="O70" i="26"/>
  <c r="R4" i="26"/>
  <c r="S4" i="26"/>
  <c r="T4" i="26"/>
  <c r="U4" i="26"/>
  <c r="V4" i="26"/>
  <c r="W4" i="26"/>
  <c r="X4" i="26"/>
  <c r="Y4" i="26"/>
  <c r="Z4" i="26"/>
  <c r="AA4" i="26"/>
  <c r="AB4" i="26"/>
  <c r="AC4" i="26"/>
  <c r="AD4" i="26"/>
  <c r="H18" i="34"/>
  <c r="H11" i="34"/>
  <c r="O5" i="34"/>
  <c r="O11" i="34"/>
  <c r="N5" i="33"/>
  <c r="K5" i="33"/>
  <c r="G7" i="33"/>
  <c r="K7" i="33"/>
  <c r="I7" i="33"/>
  <c r="H7" i="33"/>
  <c r="G9" i="33"/>
  <c r="H9" i="33"/>
  <c r="G8" i="33"/>
  <c r="H8" i="33"/>
  <c r="G10" i="33"/>
  <c r="H10" i="33"/>
  <c r="G11" i="33"/>
  <c r="H11" i="33"/>
  <c r="G12" i="33"/>
  <c r="I21" i="2"/>
  <c r="J21" i="2"/>
  <c r="K21" i="2"/>
  <c r="H12" i="33"/>
  <c r="G13" i="33"/>
  <c r="H13" i="33"/>
  <c r="G16" i="33"/>
  <c r="H16" i="33"/>
  <c r="G14" i="33"/>
  <c r="H14" i="33"/>
  <c r="G15" i="33"/>
  <c r="H15" i="33"/>
  <c r="G17" i="33"/>
  <c r="H17" i="33"/>
  <c r="G18" i="33"/>
  <c r="H18" i="33"/>
  <c r="G19" i="33"/>
  <c r="H19" i="33"/>
  <c r="G20" i="33"/>
  <c r="H20" i="33"/>
  <c r="G21" i="33"/>
  <c r="H21" i="33"/>
  <c r="G22" i="33"/>
  <c r="H22" i="33"/>
  <c r="G23" i="33"/>
  <c r="H23" i="33"/>
  <c r="G24" i="33"/>
  <c r="N24" i="33"/>
  <c r="H24" i="33"/>
  <c r="G25" i="33"/>
  <c r="H25" i="33"/>
  <c r="G36" i="33"/>
  <c r="H36" i="33"/>
  <c r="G37" i="33"/>
  <c r="H37" i="33"/>
  <c r="G38" i="33"/>
  <c r="H38" i="33"/>
  <c r="G39" i="33"/>
  <c r="H39" i="33"/>
  <c r="G26" i="33"/>
  <c r="N26" i="33"/>
  <c r="H26" i="33"/>
  <c r="G27" i="33"/>
  <c r="K27" i="33"/>
  <c r="H27" i="33"/>
  <c r="G28" i="33"/>
  <c r="H28" i="33"/>
  <c r="K28" i="33"/>
  <c r="I28" i="33"/>
  <c r="G29" i="33"/>
  <c r="H29" i="33"/>
  <c r="G30" i="33"/>
  <c r="H30" i="33"/>
  <c r="G31" i="33"/>
  <c r="H31" i="33"/>
  <c r="G32" i="33"/>
  <c r="H32" i="33"/>
  <c r="G33" i="33"/>
  <c r="N33" i="33"/>
  <c r="H33" i="33"/>
  <c r="G34" i="33"/>
  <c r="H34" i="33"/>
  <c r="G35" i="33"/>
  <c r="H35" i="33"/>
  <c r="G40" i="33"/>
  <c r="H40" i="33"/>
  <c r="G41" i="33"/>
  <c r="N41" i="33"/>
  <c r="L41" i="33"/>
  <c r="H41" i="33"/>
  <c r="G42" i="33"/>
  <c r="H42" i="33"/>
  <c r="G43" i="33"/>
  <c r="H43" i="33"/>
  <c r="K43" i="33"/>
  <c r="I43" i="33"/>
  <c r="J43" i="33"/>
  <c r="G44" i="33"/>
  <c r="H44" i="33"/>
  <c r="G45" i="33"/>
  <c r="H45" i="33"/>
  <c r="K45" i="33"/>
  <c r="I45" i="33"/>
  <c r="J45" i="33"/>
  <c r="G46" i="33"/>
  <c r="K46" i="33"/>
  <c r="I22" i="2"/>
  <c r="J22" i="2"/>
  <c r="K22" i="2"/>
  <c r="K34" i="2"/>
  <c r="H46" i="33"/>
  <c r="D47" i="33"/>
  <c r="E47" i="33"/>
  <c r="F47" i="33"/>
  <c r="H47" i="33"/>
  <c r="G48" i="33"/>
  <c r="H48" i="33"/>
  <c r="G49" i="33"/>
  <c r="N49" i="33"/>
  <c r="L49" i="33"/>
  <c r="H49" i="33"/>
  <c r="G50" i="33"/>
  <c r="H50" i="33"/>
  <c r="G51" i="33"/>
  <c r="H51" i="33"/>
  <c r="K51" i="33"/>
  <c r="I51" i="33"/>
  <c r="J51" i="33"/>
  <c r="G52" i="33"/>
  <c r="H52" i="33"/>
  <c r="G53" i="33"/>
  <c r="H53" i="33"/>
  <c r="K53" i="33"/>
  <c r="I53" i="33"/>
  <c r="J53" i="33"/>
  <c r="G54" i="33"/>
  <c r="H54" i="33"/>
  <c r="G55" i="33"/>
  <c r="N55" i="33"/>
  <c r="M55" i="33"/>
  <c r="H55" i="33"/>
  <c r="G56" i="33"/>
  <c r="H56" i="33"/>
  <c r="G57" i="33"/>
  <c r="N57" i="33"/>
  <c r="M57" i="33"/>
  <c r="H57" i="33"/>
  <c r="K57" i="33"/>
  <c r="I57" i="33"/>
  <c r="J57" i="33"/>
  <c r="I12" i="34"/>
  <c r="I18" i="34"/>
  <c r="Q13" i="26"/>
  <c r="Q14" i="26"/>
  <c r="Q17" i="26"/>
  <c r="Q19" i="26"/>
  <c r="Q20" i="26"/>
  <c r="Q21" i="26"/>
  <c r="Q9" i="26"/>
  <c r="Q7" i="26"/>
  <c r="Q6" i="26"/>
  <c r="Q18" i="26"/>
  <c r="Q16" i="26"/>
  <c r="Q15" i="26"/>
  <c r="Q12" i="26"/>
  <c r="Q11" i="26"/>
  <c r="Q10" i="26"/>
  <c r="Q8" i="26"/>
  <c r="O66" i="26"/>
  <c r="O62" i="26"/>
  <c r="O58" i="26"/>
  <c r="O54" i="26"/>
  <c r="O48" i="26"/>
  <c r="O42" i="26"/>
  <c r="O36" i="26"/>
  <c r="O30" i="26"/>
  <c r="O24" i="26"/>
  <c r="O18" i="26"/>
  <c r="O12" i="26"/>
  <c r="O6" i="26"/>
  <c r="V7" i="26"/>
  <c r="V8" i="26"/>
  <c r="V11" i="26"/>
  <c r="V12" i="26"/>
  <c r="V15" i="26"/>
  <c r="V16" i="26"/>
  <c r="V19" i="26"/>
  <c r="V20" i="26"/>
  <c r="V6" i="26"/>
  <c r="V9" i="26"/>
  <c r="V10" i="26"/>
  <c r="V13" i="26"/>
  <c r="V14" i="26"/>
  <c r="V17" i="26"/>
  <c r="V18" i="26"/>
  <c r="V21" i="26"/>
  <c r="G21" i="48"/>
  <c r="H21" i="48"/>
  <c r="F21" i="2"/>
  <c r="I21" i="48"/>
  <c r="J21" i="48"/>
  <c r="K21" i="48"/>
  <c r="F21" i="48"/>
  <c r="I22" i="48"/>
  <c r="J22" i="48"/>
  <c r="K22" i="48"/>
  <c r="I24" i="48"/>
  <c r="J24" i="48"/>
  <c r="K24" i="48"/>
  <c r="I25" i="48"/>
  <c r="J25" i="48"/>
  <c r="K25" i="48"/>
  <c r="I26" i="48"/>
  <c r="J26" i="48"/>
  <c r="K26" i="48"/>
  <c r="I32" i="48"/>
  <c r="J32" i="48"/>
  <c r="K32" i="48"/>
  <c r="K34" i="48"/>
  <c r="F22" i="48"/>
  <c r="L11" i="34"/>
  <c r="J11" i="34"/>
  <c r="L18" i="34"/>
  <c r="K18" i="34"/>
  <c r="N8" i="33"/>
  <c r="L8" i="33"/>
  <c r="N10" i="33"/>
  <c r="N12" i="33"/>
  <c r="L12" i="33"/>
  <c r="N14" i="33"/>
  <c r="L14" i="33"/>
  <c r="N16" i="33"/>
  <c r="L16" i="33"/>
  <c r="N18" i="33"/>
  <c r="N20" i="33"/>
  <c r="L20" i="33"/>
  <c r="N22" i="33"/>
  <c r="L22" i="33"/>
  <c r="N28" i="33"/>
  <c r="L28" i="33"/>
  <c r="N30" i="33"/>
  <c r="L30" i="33"/>
  <c r="N32" i="33"/>
  <c r="L32" i="33"/>
  <c r="N36" i="33"/>
  <c r="L36" i="33"/>
  <c r="N38" i="33"/>
  <c r="L38" i="33"/>
  <c r="N40" i="33"/>
  <c r="L40" i="33"/>
  <c r="N42" i="33"/>
  <c r="N44" i="33"/>
  <c r="L44" i="33"/>
  <c r="N46" i="33"/>
  <c r="N48" i="33"/>
  <c r="L48" i="33"/>
  <c r="N50" i="33"/>
  <c r="N52" i="33"/>
  <c r="L52" i="33"/>
  <c r="N54" i="33"/>
  <c r="M54" i="33"/>
  <c r="N56" i="33"/>
  <c r="L56" i="33"/>
  <c r="O20" i="34"/>
  <c r="O19" i="34"/>
  <c r="M19" i="34"/>
  <c r="K35" i="33"/>
  <c r="K33" i="33"/>
  <c r="J33" i="33"/>
  <c r="K31" i="33"/>
  <c r="J31" i="33"/>
  <c r="K29" i="33"/>
  <c r="J29" i="33"/>
  <c r="K39" i="33"/>
  <c r="J39" i="33"/>
  <c r="K37" i="33"/>
  <c r="J37" i="33"/>
  <c r="K25" i="33"/>
  <c r="J25" i="33"/>
  <c r="K23" i="33"/>
  <c r="K21" i="33"/>
  <c r="J21" i="33"/>
  <c r="K19" i="33"/>
  <c r="J19" i="33"/>
  <c r="K17" i="33"/>
  <c r="J17" i="33"/>
  <c r="K14" i="33"/>
  <c r="K13" i="33"/>
  <c r="J13" i="33"/>
  <c r="K11" i="33"/>
  <c r="J11" i="33"/>
  <c r="K8" i="33"/>
  <c r="J8" i="33"/>
  <c r="N7" i="33"/>
  <c r="L7" i="33"/>
  <c r="N9" i="33"/>
  <c r="N11" i="33"/>
  <c r="L11" i="33"/>
  <c r="N13" i="33"/>
  <c r="L13" i="33"/>
  <c r="N15" i="33"/>
  <c r="L15" i="33"/>
  <c r="N17" i="33"/>
  <c r="N19" i="33"/>
  <c r="L19" i="33"/>
  <c r="N21" i="33"/>
  <c r="L21" i="33"/>
  <c r="N23" i="33"/>
  <c r="L23" i="33"/>
  <c r="N25" i="33"/>
  <c r="N27" i="33"/>
  <c r="L27" i="33"/>
  <c r="N29" i="33"/>
  <c r="L29" i="33"/>
  <c r="N31" i="33"/>
  <c r="L31" i="33"/>
  <c r="N35" i="33"/>
  <c r="L35" i="33"/>
  <c r="N37" i="33"/>
  <c r="L37" i="33"/>
  <c r="N39" i="33"/>
  <c r="L39" i="33"/>
  <c r="N43" i="33"/>
  <c r="L43" i="33"/>
  <c r="N45" i="33"/>
  <c r="L45" i="33"/>
  <c r="N51" i="33"/>
  <c r="L51" i="33"/>
  <c r="N53" i="33"/>
  <c r="L53" i="33"/>
  <c r="L20" i="34"/>
  <c r="K20" i="34"/>
  <c r="L69" i="49"/>
  <c r="E69" i="49"/>
  <c r="L67" i="49"/>
  <c r="J66" i="49"/>
  <c r="I65" i="49"/>
  <c r="E65" i="49"/>
  <c r="H64" i="49"/>
  <c r="L63" i="49"/>
  <c r="J43" i="49"/>
  <c r="E42" i="49"/>
  <c r="L40" i="49"/>
  <c r="M22" i="48"/>
  <c r="J39" i="49"/>
  <c r="F39" i="49"/>
  <c r="I36" i="49"/>
  <c r="L33" i="48"/>
  <c r="L29" i="48"/>
  <c r="L25" i="48"/>
  <c r="G22" i="48"/>
  <c r="F22" i="2"/>
  <c r="F34" i="2"/>
  <c r="L31" i="48"/>
  <c r="L27" i="48"/>
  <c r="L23" i="48"/>
  <c r="G16" i="48"/>
  <c r="H10" i="49"/>
  <c r="O16" i="48"/>
  <c r="R16" i="48"/>
  <c r="S16" i="48"/>
  <c r="H32" i="48"/>
  <c r="L32" i="48"/>
  <c r="H30" i="48"/>
  <c r="L30" i="48"/>
  <c r="H28" i="48"/>
  <c r="L28" i="48"/>
  <c r="H26" i="48"/>
  <c r="L26" i="48"/>
  <c r="H24" i="48"/>
  <c r="L24" i="48"/>
  <c r="H22" i="48"/>
  <c r="S18" i="48"/>
  <c r="J16" i="49"/>
  <c r="R17" i="48"/>
  <c r="S17" i="48"/>
  <c r="I16" i="49"/>
  <c r="O17" i="48"/>
  <c r="G13" i="48"/>
  <c r="E10" i="49"/>
  <c r="O13" i="48"/>
  <c r="R13" i="48"/>
  <c r="I34" i="2"/>
  <c r="L78" i="37"/>
  <c r="M43" i="33"/>
  <c r="M39" i="33"/>
  <c r="M35" i="33"/>
  <c r="M31" i="33"/>
  <c r="M27" i="33"/>
  <c r="M23" i="33"/>
  <c r="M19" i="33"/>
  <c r="M15" i="33"/>
  <c r="M11" i="33"/>
  <c r="M7" i="33"/>
  <c r="I8" i="33"/>
  <c r="I13" i="33"/>
  <c r="I17" i="33"/>
  <c r="I21" i="33"/>
  <c r="I25" i="33"/>
  <c r="I39" i="33"/>
  <c r="I29" i="33"/>
  <c r="I33" i="33"/>
  <c r="M20" i="34"/>
  <c r="N20" i="34"/>
  <c r="L54" i="33"/>
  <c r="L50" i="33"/>
  <c r="M50" i="33"/>
  <c r="L46" i="33"/>
  <c r="M22" i="2"/>
  <c r="M46" i="33"/>
  <c r="N22" i="2"/>
  <c r="P22" i="2"/>
  <c r="L42" i="33"/>
  <c r="M42" i="33"/>
  <c r="M38" i="33"/>
  <c r="M30" i="33"/>
  <c r="M22" i="33"/>
  <c r="L18" i="33"/>
  <c r="M18" i="33"/>
  <c r="M14" i="33"/>
  <c r="L10" i="33"/>
  <c r="M10" i="33"/>
  <c r="J20" i="34"/>
  <c r="M53" i="33"/>
  <c r="M45" i="33"/>
  <c r="M37" i="33"/>
  <c r="M29" i="33"/>
  <c r="L25" i="33"/>
  <c r="M25" i="33"/>
  <c r="M21" i="33"/>
  <c r="L17" i="33"/>
  <c r="M17" i="33"/>
  <c r="M13" i="33"/>
  <c r="L9" i="33"/>
  <c r="M9" i="33"/>
  <c r="I11" i="33"/>
  <c r="J14" i="33"/>
  <c r="I14" i="33"/>
  <c r="I19" i="33"/>
  <c r="J23" i="33"/>
  <c r="I23" i="33"/>
  <c r="I37" i="33"/>
  <c r="I31" i="33"/>
  <c r="J35" i="33"/>
  <c r="I35" i="33"/>
  <c r="M56" i="33"/>
  <c r="M48" i="33"/>
  <c r="M40" i="33"/>
  <c r="M32" i="33"/>
  <c r="M16" i="33"/>
  <c r="N21" i="2"/>
  <c r="M8" i="33"/>
  <c r="L22" i="48"/>
  <c r="L21" i="48"/>
  <c r="L34" i="48"/>
  <c r="L36" i="49"/>
  <c r="L37" i="49"/>
  <c r="L38" i="49"/>
  <c r="L39" i="49"/>
  <c r="L41" i="49"/>
  <c r="L42" i="49"/>
  <c r="L43" i="49"/>
  <c r="E39" i="49"/>
  <c r="E36" i="49"/>
  <c r="H36" i="49"/>
  <c r="E37" i="49"/>
  <c r="I37" i="49"/>
  <c r="F38" i="49"/>
  <c r="J38" i="49"/>
  <c r="G39" i="49"/>
  <c r="H40" i="49"/>
  <c r="E41" i="49"/>
  <c r="I41" i="49"/>
  <c r="F42" i="49"/>
  <c r="J42" i="49"/>
  <c r="G43" i="49"/>
  <c r="E62" i="49"/>
  <c r="I62" i="49"/>
  <c r="F63" i="49"/>
  <c r="J63" i="49"/>
  <c r="E64" i="49"/>
  <c r="I64" i="49"/>
  <c r="F65" i="49"/>
  <c r="E66" i="49"/>
  <c r="I66" i="49"/>
  <c r="F67" i="49"/>
  <c r="J67" i="49"/>
  <c r="G68" i="49"/>
  <c r="L68" i="49"/>
  <c r="H69" i="49"/>
  <c r="G69" i="49"/>
  <c r="J68" i="49"/>
  <c r="F68" i="49"/>
  <c r="I67" i="49"/>
  <c r="E67" i="49"/>
  <c r="H66" i="49"/>
  <c r="L65" i="49"/>
  <c r="I63" i="49"/>
  <c r="G63" i="49"/>
  <c r="E63" i="49"/>
  <c r="J62" i="49"/>
  <c r="H62" i="49"/>
  <c r="H43" i="49"/>
  <c r="I42" i="49"/>
  <c r="J41" i="49"/>
  <c r="F41" i="49"/>
  <c r="I40" i="49"/>
  <c r="E40" i="49"/>
  <c r="I38" i="49"/>
  <c r="G38" i="49"/>
  <c r="E38" i="49"/>
  <c r="J37" i="49"/>
  <c r="H37" i="49"/>
  <c r="F37" i="49"/>
  <c r="G36" i="49"/>
  <c r="H39" i="49"/>
  <c r="G40" i="49"/>
  <c r="H41" i="49"/>
  <c r="G42" i="49"/>
  <c r="F43" i="49"/>
  <c r="F62" i="49"/>
  <c r="F64" i="49"/>
  <c r="J64" i="49"/>
  <c r="G65" i="49"/>
  <c r="F66" i="49"/>
  <c r="G67" i="49"/>
  <c r="H68" i="49"/>
  <c r="I69" i="49"/>
  <c r="F69" i="49"/>
  <c r="E68" i="49"/>
  <c r="L66" i="49"/>
  <c r="J65" i="49"/>
  <c r="L64" i="49"/>
  <c r="L62" i="49"/>
  <c r="E43" i="49"/>
  <c r="J40" i="49"/>
  <c r="I39" i="49"/>
  <c r="H38" i="49"/>
  <c r="G37" i="49"/>
  <c r="F36" i="49"/>
  <c r="I68" i="49"/>
  <c r="H67" i="49"/>
  <c r="G66" i="49"/>
  <c r="H65" i="49"/>
  <c r="H63" i="49"/>
  <c r="I43" i="49"/>
  <c r="G41" i="49"/>
  <c r="M21" i="2"/>
  <c r="M34" i="2"/>
  <c r="M21" i="48"/>
  <c r="J7" i="33"/>
  <c r="N21" i="48"/>
  <c r="N22" i="48"/>
  <c r="G47" i="33"/>
  <c r="K30" i="33"/>
  <c r="K26" i="33"/>
  <c r="K36" i="33"/>
  <c r="K22" i="33"/>
  <c r="K18" i="33"/>
  <c r="K16" i="33"/>
  <c r="K10" i="33"/>
  <c r="H53" i="21"/>
  <c r="H54" i="21"/>
  <c r="F80" i="23"/>
  <c r="O80" i="23"/>
  <c r="G80" i="23"/>
  <c r="P80" i="23"/>
  <c r="I80" i="23"/>
  <c r="R80" i="23"/>
  <c r="H42" i="49"/>
  <c r="F40" i="49"/>
  <c r="E34" i="48"/>
  <c r="L5" i="49"/>
  <c r="F32" i="48"/>
  <c r="F30" i="48"/>
  <c r="F28" i="48"/>
  <c r="F26" i="48"/>
  <c r="F24" i="48"/>
  <c r="T32" i="48"/>
  <c r="T30" i="48"/>
  <c r="T28" i="48"/>
  <c r="T26" i="48"/>
  <c r="T24" i="48"/>
  <c r="T22" i="48"/>
  <c r="Q32" i="48"/>
  <c r="S32" i="48"/>
  <c r="Q30" i="48"/>
  <c r="S30" i="48"/>
  <c r="Q28" i="48"/>
  <c r="S28" i="48"/>
  <c r="Q26" i="48"/>
  <c r="S26" i="48"/>
  <c r="Q24" i="48"/>
  <c r="S24" i="48"/>
  <c r="N32" i="48"/>
  <c r="N30" i="48"/>
  <c r="P30" i="48"/>
  <c r="N28" i="48"/>
  <c r="P28" i="48"/>
  <c r="O21" i="48"/>
  <c r="P21" i="48"/>
  <c r="O22" i="48"/>
  <c r="P22" i="48"/>
  <c r="N23" i="48"/>
  <c r="O23" i="48"/>
  <c r="P23" i="48"/>
  <c r="N24" i="48"/>
  <c r="O24" i="48"/>
  <c r="P24" i="48"/>
  <c r="N25" i="48"/>
  <c r="P25" i="48"/>
  <c r="N26" i="48"/>
  <c r="O26" i="48"/>
  <c r="P26" i="48"/>
  <c r="N27" i="48"/>
  <c r="O27" i="48"/>
  <c r="P27" i="48"/>
  <c r="O29" i="48"/>
  <c r="P29" i="48"/>
  <c r="N31" i="48"/>
  <c r="P31" i="48"/>
  <c r="O32" i="48"/>
  <c r="P32" i="48"/>
  <c r="N33" i="48"/>
  <c r="O33" i="48"/>
  <c r="P33" i="48"/>
  <c r="P34" i="48"/>
  <c r="H33" i="48"/>
  <c r="H29" i="48"/>
  <c r="H25" i="48"/>
  <c r="R18" i="2"/>
  <c r="S18" i="2"/>
  <c r="J16" i="44"/>
  <c r="H18" i="2"/>
  <c r="J11" i="44"/>
  <c r="H43" i="21"/>
  <c r="H75" i="21"/>
  <c r="H41" i="21"/>
  <c r="H73" i="21"/>
  <c r="H39" i="21"/>
  <c r="H71" i="21"/>
  <c r="H37" i="21"/>
  <c r="H69" i="21"/>
  <c r="I85" i="23"/>
  <c r="R85" i="23"/>
  <c r="H35" i="21"/>
  <c r="H67" i="21"/>
  <c r="H33" i="21"/>
  <c r="S16" i="2"/>
  <c r="H16" i="44"/>
  <c r="O16" i="2"/>
  <c r="G54" i="21"/>
  <c r="G57" i="21"/>
  <c r="H16" i="2"/>
  <c r="H11" i="44"/>
  <c r="F43" i="21"/>
  <c r="F75" i="21"/>
  <c r="G55" i="23"/>
  <c r="P55" i="23"/>
  <c r="F41" i="21"/>
  <c r="F73" i="21"/>
  <c r="G53" i="23"/>
  <c r="P53" i="23"/>
  <c r="F39" i="21"/>
  <c r="F71" i="21"/>
  <c r="F37" i="21"/>
  <c r="F69" i="21"/>
  <c r="F35" i="21"/>
  <c r="F67" i="21"/>
  <c r="F33" i="21"/>
  <c r="F26" i="23"/>
  <c r="O26" i="23"/>
  <c r="I26" i="23"/>
  <c r="R26" i="23"/>
  <c r="H26" i="23"/>
  <c r="Q26" i="23"/>
  <c r="D42" i="21"/>
  <c r="D74" i="21"/>
  <c r="D40" i="21"/>
  <c r="D72" i="21"/>
  <c r="D38" i="21"/>
  <c r="D70" i="21"/>
  <c r="D36" i="21"/>
  <c r="D68" i="21"/>
  <c r="D34" i="21"/>
  <c r="D66" i="21"/>
  <c r="K10" i="23"/>
  <c r="T10" i="23"/>
  <c r="H13" i="2"/>
  <c r="E11" i="44"/>
  <c r="E42" i="21"/>
  <c r="E74" i="21"/>
  <c r="E40" i="21"/>
  <c r="E72" i="21"/>
  <c r="E38" i="21"/>
  <c r="E70" i="21"/>
  <c r="E36" i="21"/>
  <c r="E68" i="21"/>
  <c r="E34" i="21"/>
  <c r="E66" i="21"/>
  <c r="E33" i="21"/>
  <c r="E46" i="21"/>
  <c r="J16" i="33"/>
  <c r="I16" i="33"/>
  <c r="J22" i="33"/>
  <c r="I22" i="33"/>
  <c r="J26" i="33"/>
  <c r="I26" i="33"/>
  <c r="N47" i="33"/>
  <c r="K47" i="33"/>
  <c r="J47" i="33"/>
  <c r="H57" i="21"/>
  <c r="J10" i="33"/>
  <c r="I10" i="33"/>
  <c r="J18" i="33"/>
  <c r="I18" i="33"/>
  <c r="J36" i="33"/>
  <c r="I36" i="33"/>
  <c r="J30" i="33"/>
  <c r="I30" i="33"/>
  <c r="I47" i="33"/>
  <c r="L47" i="33"/>
  <c r="M47" i="33"/>
  <c r="Y38" i="23"/>
  <c r="X38" i="23"/>
  <c r="W20" i="23"/>
  <c r="W38" i="23"/>
  <c r="Y20" i="23"/>
  <c r="X20" i="23"/>
  <c r="S13" i="48"/>
  <c r="E16" i="49"/>
  <c r="S13" i="2"/>
  <c r="E16" i="44"/>
  <c r="I13" i="48"/>
  <c r="J13" i="48"/>
  <c r="K13" i="48"/>
  <c r="E13" i="49"/>
  <c r="E49" i="49"/>
  <c r="I13" i="2"/>
  <c r="I14" i="2"/>
  <c r="I19" i="2"/>
  <c r="J14" i="2"/>
  <c r="K14" i="2"/>
  <c r="F13" i="44"/>
  <c r="F26" i="44"/>
  <c r="F86" i="44"/>
  <c r="I14" i="48"/>
  <c r="J14" i="48"/>
  <c r="K14" i="48"/>
  <c r="F13" i="49"/>
  <c r="F26" i="49"/>
  <c r="T34" i="2"/>
  <c r="L17" i="44"/>
  <c r="G21" i="2"/>
  <c r="G22" i="2"/>
  <c r="P21" i="2"/>
  <c r="P23" i="2"/>
  <c r="P24" i="2"/>
  <c r="P25" i="2"/>
  <c r="P26" i="2"/>
  <c r="P27" i="2"/>
  <c r="P28" i="2"/>
  <c r="P29" i="2"/>
  <c r="P30" i="2"/>
  <c r="P31" i="2"/>
  <c r="P34" i="2"/>
  <c r="L15" i="44"/>
  <c r="T21" i="48"/>
  <c r="L34" i="2"/>
  <c r="H34" i="2"/>
  <c r="L11" i="44"/>
  <c r="E31" i="21"/>
  <c r="E53" i="21"/>
  <c r="E54" i="21"/>
  <c r="E63" i="21"/>
  <c r="D51" i="21"/>
  <c r="D54" i="21"/>
  <c r="G26" i="23"/>
  <c r="P26" i="23"/>
  <c r="K26" i="23"/>
  <c r="T26" i="23"/>
  <c r="E19" i="48"/>
  <c r="E36" i="48"/>
  <c r="S14" i="48"/>
  <c r="F16" i="49"/>
  <c r="O14" i="48"/>
  <c r="E48" i="44"/>
  <c r="E59" i="44"/>
  <c r="E25" i="44"/>
  <c r="E93" i="37"/>
  <c r="L12" i="44"/>
  <c r="L25" i="44"/>
  <c r="G46" i="44"/>
  <c r="G57" i="44"/>
  <c r="G23" i="44"/>
  <c r="G91" i="37"/>
  <c r="F10" i="44"/>
  <c r="F46" i="44"/>
  <c r="L14" i="48"/>
  <c r="F12" i="49"/>
  <c r="F48" i="49"/>
  <c r="H14" i="48"/>
  <c r="F11" i="49"/>
  <c r="H13" i="48"/>
  <c r="E11" i="49"/>
  <c r="V38" i="23"/>
  <c r="V20" i="23"/>
  <c r="E88" i="37"/>
  <c r="F88" i="37"/>
  <c r="E118" i="37"/>
  <c r="F118" i="37"/>
  <c r="K88" i="37"/>
  <c r="I10" i="23"/>
  <c r="R10" i="23"/>
  <c r="E10" i="23"/>
  <c r="N10" i="23"/>
  <c r="H10" i="23"/>
  <c r="F10" i="23"/>
  <c r="J32" i="21"/>
  <c r="M32" i="48"/>
  <c r="G32" i="48"/>
  <c r="M24" i="48"/>
  <c r="G24" i="48"/>
  <c r="F98" i="23"/>
  <c r="G98" i="23"/>
  <c r="P98" i="23"/>
  <c r="D66" i="23"/>
  <c r="M66" i="23"/>
  <c r="E66" i="23"/>
  <c r="N66" i="23"/>
  <c r="G8" i="23"/>
  <c r="L71" i="37"/>
  <c r="M71" i="37"/>
  <c r="G31" i="48"/>
  <c r="H31" i="48"/>
  <c r="M28" i="48"/>
  <c r="G28" i="48"/>
  <c r="G23" i="48"/>
  <c r="H23" i="48"/>
  <c r="Q21" i="48"/>
  <c r="S21" i="48"/>
  <c r="G15" i="48"/>
  <c r="H15" i="48"/>
  <c r="G11" i="49"/>
  <c r="G24" i="49"/>
  <c r="G73" i="49"/>
  <c r="R15" i="48"/>
  <c r="S15" i="48"/>
  <c r="D72" i="23"/>
  <c r="M72" i="23"/>
  <c r="E72" i="23"/>
  <c r="N72" i="23"/>
  <c r="D68" i="23"/>
  <c r="M68" i="23"/>
  <c r="E68" i="23"/>
  <c r="N68" i="23"/>
  <c r="F62" i="23"/>
  <c r="D62" i="23"/>
  <c r="M62" i="23"/>
  <c r="E62" i="23"/>
  <c r="N62" i="23"/>
  <c r="H62" i="23"/>
  <c r="Q62" i="23"/>
  <c r="K15" i="33"/>
  <c r="J15" i="33"/>
  <c r="Q33" i="48"/>
  <c r="S33" i="48"/>
  <c r="Q25" i="48"/>
  <c r="S25" i="48"/>
  <c r="H27" i="48"/>
  <c r="H34" i="48"/>
  <c r="I106" i="23"/>
  <c r="R106" i="23"/>
  <c r="I102" i="23"/>
  <c r="R102" i="23"/>
  <c r="I98" i="23"/>
  <c r="R17" i="2"/>
  <c r="S17" i="2"/>
  <c r="I16" i="44"/>
  <c r="O17" i="2"/>
  <c r="H42" i="21"/>
  <c r="H74" i="21"/>
  <c r="H40" i="21"/>
  <c r="H72" i="21"/>
  <c r="H38" i="21"/>
  <c r="H70" i="21"/>
  <c r="H36" i="21"/>
  <c r="H68" i="21"/>
  <c r="H34" i="21"/>
  <c r="H66" i="21"/>
  <c r="H17" i="2"/>
  <c r="I11" i="44"/>
  <c r="I47" i="44"/>
  <c r="I58" i="44"/>
  <c r="R15" i="2"/>
  <c r="S15" i="2"/>
  <c r="O15" i="2"/>
  <c r="F42" i="21"/>
  <c r="F74" i="21"/>
  <c r="F40" i="21"/>
  <c r="J40" i="21"/>
  <c r="F38" i="21"/>
  <c r="F36" i="21"/>
  <c r="F68" i="21"/>
  <c r="E48" i="23"/>
  <c r="N48" i="23"/>
  <c r="F34" i="21"/>
  <c r="F66" i="21"/>
  <c r="J46" i="23"/>
  <c r="S46" i="23"/>
  <c r="O13" i="2"/>
  <c r="D43" i="21"/>
  <c r="D39" i="21"/>
  <c r="D71" i="21"/>
  <c r="D35" i="21"/>
  <c r="D75" i="21"/>
  <c r="K19" i="23"/>
  <c r="T19" i="23"/>
  <c r="P8" i="23"/>
  <c r="O98" i="23"/>
  <c r="O62" i="23"/>
  <c r="G10" i="49"/>
  <c r="G23" i="49"/>
  <c r="O10" i="23"/>
  <c r="Q10" i="23"/>
  <c r="E85" i="23"/>
  <c r="N85" i="23"/>
  <c r="J85" i="23"/>
  <c r="S85" i="23"/>
  <c r="D85" i="23"/>
  <c r="M85" i="23"/>
  <c r="G85" i="23"/>
  <c r="P85" i="23"/>
  <c r="F85" i="23"/>
  <c r="O85" i="23"/>
  <c r="H85" i="23"/>
  <c r="Q85" i="23"/>
  <c r="K85" i="23"/>
  <c r="T85" i="23"/>
  <c r="I89" i="23"/>
  <c r="R89" i="23"/>
  <c r="H89" i="23"/>
  <c r="Q89" i="23"/>
  <c r="E89" i="23"/>
  <c r="N89" i="23"/>
  <c r="K89" i="23"/>
  <c r="T89" i="23"/>
  <c r="D89" i="23"/>
  <c r="M89" i="23"/>
  <c r="J89" i="23"/>
  <c r="S89" i="23"/>
  <c r="G89" i="23"/>
  <c r="P89" i="23"/>
  <c r="F89" i="23"/>
  <c r="O89" i="23"/>
  <c r="E105" i="23"/>
  <c r="N105" i="23"/>
  <c r="J105" i="23"/>
  <c r="S105" i="23"/>
  <c r="G105" i="23"/>
  <c r="P105" i="23"/>
  <c r="D105" i="23"/>
  <c r="M105" i="23"/>
  <c r="K105" i="23"/>
  <c r="T105" i="23"/>
  <c r="F105" i="23"/>
  <c r="O105" i="23"/>
  <c r="M27" i="48"/>
  <c r="K5" i="49"/>
  <c r="M5" i="49"/>
  <c r="E45" i="21"/>
  <c r="G29" i="2"/>
  <c r="G27" i="2"/>
  <c r="G26" i="2"/>
  <c r="E12" i="49"/>
  <c r="E25" i="49"/>
  <c r="E74" i="49"/>
  <c r="K44" i="23"/>
  <c r="T44" i="23"/>
  <c r="D44" i="23"/>
  <c r="M44" i="23"/>
  <c r="H44" i="23"/>
  <c r="Q44" i="23"/>
  <c r="F44" i="23"/>
  <c r="O44" i="23"/>
  <c r="I44" i="23"/>
  <c r="R44" i="23"/>
  <c r="E44" i="23"/>
  <c r="N44" i="23"/>
  <c r="J44" i="23"/>
  <c r="S44" i="23"/>
  <c r="G44" i="23"/>
  <c r="P44" i="23"/>
  <c r="F10" i="49"/>
  <c r="F23" i="49"/>
  <c r="F72" i="49"/>
  <c r="K101" i="23"/>
  <c r="T101" i="23"/>
  <c r="G101" i="23"/>
  <c r="P101" i="23"/>
  <c r="J101" i="23"/>
  <c r="S101" i="23"/>
  <c r="F101" i="23"/>
  <c r="O101" i="23"/>
  <c r="F54" i="21"/>
  <c r="F53" i="21"/>
  <c r="D67" i="21"/>
  <c r="J18" i="23"/>
  <c r="S18" i="23"/>
  <c r="H18" i="23"/>
  <c r="Q18" i="23"/>
  <c r="I55" i="23"/>
  <c r="R55" i="23"/>
  <c r="J16" i="23"/>
  <c r="S16" i="23"/>
  <c r="F16" i="23"/>
  <c r="O16" i="23"/>
  <c r="H49" i="23"/>
  <c r="Q49" i="23"/>
  <c r="D49" i="23"/>
  <c r="M49" i="23"/>
  <c r="F49" i="23"/>
  <c r="O49" i="23"/>
  <c r="H53" i="23"/>
  <c r="Q53" i="23"/>
  <c r="D53" i="23"/>
  <c r="M53" i="23"/>
  <c r="F53" i="23"/>
  <c r="O53" i="23"/>
  <c r="Z74" i="23"/>
  <c r="AA74" i="23"/>
  <c r="Z110" i="23"/>
  <c r="AA110" i="23"/>
  <c r="J69" i="49"/>
  <c r="F25" i="48"/>
  <c r="T27" i="48"/>
  <c r="T23" i="48"/>
  <c r="Q23" i="48"/>
  <c r="S23" i="48"/>
  <c r="S34" i="48"/>
  <c r="I18" i="48"/>
  <c r="J18" i="48"/>
  <c r="L18" i="48"/>
  <c r="J12" i="49"/>
  <c r="I17" i="48"/>
  <c r="J17" i="48"/>
  <c r="K17" i="48"/>
  <c r="I13" i="49"/>
  <c r="L17" i="48"/>
  <c r="I12" i="49"/>
  <c r="I16" i="48"/>
  <c r="J16" i="48"/>
  <c r="K16" i="48"/>
  <c r="H13" i="49"/>
  <c r="L16" i="48"/>
  <c r="H12" i="49"/>
  <c r="H48" i="49"/>
  <c r="I15" i="48"/>
  <c r="J15" i="48"/>
  <c r="K15" i="48"/>
  <c r="D31" i="21"/>
  <c r="E107" i="23"/>
  <c r="N107" i="23"/>
  <c r="J107" i="23"/>
  <c r="S107" i="23"/>
  <c r="K107" i="23"/>
  <c r="T107" i="23"/>
  <c r="F107" i="23"/>
  <c r="O107" i="23"/>
  <c r="G107" i="23"/>
  <c r="P107" i="23"/>
  <c r="J70" i="23"/>
  <c r="S70" i="23"/>
  <c r="K70" i="23"/>
  <c r="T70" i="23"/>
  <c r="G70" i="23"/>
  <c r="P70" i="23"/>
  <c r="E70" i="23"/>
  <c r="N70" i="23"/>
  <c r="H70" i="23"/>
  <c r="Q70" i="23"/>
  <c r="F70" i="23"/>
  <c r="O70" i="23"/>
  <c r="I70" i="23"/>
  <c r="R70" i="23"/>
  <c r="D70" i="23"/>
  <c r="M70" i="23"/>
  <c r="D48" i="21"/>
  <c r="D49" i="21"/>
  <c r="K12" i="23"/>
  <c r="T12" i="23"/>
  <c r="G12" i="23"/>
  <c r="P12" i="23"/>
  <c r="J12" i="23"/>
  <c r="S12" i="23"/>
  <c r="F12" i="23"/>
  <c r="O12" i="23"/>
  <c r="D12" i="23"/>
  <c r="M12" i="23"/>
  <c r="G47" i="23"/>
  <c r="P47" i="23"/>
  <c r="I47" i="23"/>
  <c r="R47" i="23"/>
  <c r="E47" i="23"/>
  <c r="N47" i="23"/>
  <c r="J103" i="23"/>
  <c r="S103" i="23"/>
  <c r="K103" i="23"/>
  <c r="T103" i="23"/>
  <c r="F103" i="23"/>
  <c r="O103" i="23"/>
  <c r="D103" i="23"/>
  <c r="M103" i="23"/>
  <c r="G103" i="23"/>
  <c r="P103" i="23"/>
  <c r="E46" i="44"/>
  <c r="E57" i="44"/>
  <c r="E23" i="44"/>
  <c r="E83" i="44"/>
  <c r="I48" i="23"/>
  <c r="R48" i="23"/>
  <c r="F48" i="23"/>
  <c r="O48" i="23"/>
  <c r="J48" i="23"/>
  <c r="S48" i="23"/>
  <c r="J36" i="21"/>
  <c r="E55" i="23"/>
  <c r="N55" i="23"/>
  <c r="D16" i="23"/>
  <c r="M16" i="23"/>
  <c r="I16" i="23"/>
  <c r="R16" i="23"/>
  <c r="H16" i="23"/>
  <c r="Q16" i="23"/>
  <c r="G49" i="21"/>
  <c r="I33" i="21"/>
  <c r="I31" i="21"/>
  <c r="H31" i="21"/>
  <c r="D41" i="21"/>
  <c r="D73" i="21"/>
  <c r="D37" i="21"/>
  <c r="D33" i="21"/>
  <c r="D45" i="21"/>
  <c r="G30" i="2"/>
  <c r="G24" i="2"/>
  <c r="D63" i="21"/>
  <c r="H63" i="21"/>
  <c r="K25" i="23"/>
  <c r="T25" i="23"/>
  <c r="F25" i="23"/>
  <c r="O25" i="23"/>
  <c r="I28" i="23"/>
  <c r="R28" i="23"/>
  <c r="G28" i="23"/>
  <c r="P28" i="23"/>
  <c r="D28" i="23"/>
  <c r="M28" i="23"/>
  <c r="J28" i="23"/>
  <c r="S28" i="23"/>
  <c r="F28" i="23"/>
  <c r="O28" i="23"/>
  <c r="K28" i="23"/>
  <c r="T28" i="23"/>
  <c r="H28" i="23"/>
  <c r="Q28" i="23"/>
  <c r="E28" i="23"/>
  <c r="N28" i="23"/>
  <c r="I32" i="23"/>
  <c r="R32" i="23"/>
  <c r="G32" i="23"/>
  <c r="P32" i="23"/>
  <c r="D32" i="23"/>
  <c r="M32" i="23"/>
  <c r="J32" i="23"/>
  <c r="S32" i="23"/>
  <c r="F32" i="23"/>
  <c r="O32" i="23"/>
  <c r="K32" i="23"/>
  <c r="T32" i="23"/>
  <c r="H32" i="23"/>
  <c r="Q32" i="23"/>
  <c r="E32" i="23"/>
  <c r="N32" i="23"/>
  <c r="I36" i="23"/>
  <c r="R36" i="23"/>
  <c r="G36" i="23"/>
  <c r="P36" i="23"/>
  <c r="D36" i="23"/>
  <c r="M36" i="23"/>
  <c r="J36" i="23"/>
  <c r="F36" i="23"/>
  <c r="K36" i="23"/>
  <c r="T36" i="23"/>
  <c r="H36" i="23"/>
  <c r="Q36" i="23"/>
  <c r="E36" i="23"/>
  <c r="N36" i="23"/>
  <c r="F109" i="23"/>
  <c r="O109" i="23"/>
  <c r="G109" i="23"/>
  <c r="P109" i="23"/>
  <c r="E109" i="23"/>
  <c r="N109" i="23"/>
  <c r="D109" i="23"/>
  <c r="M109" i="23"/>
  <c r="I109" i="23"/>
  <c r="R109" i="23"/>
  <c r="H109" i="23"/>
  <c r="Q109" i="23"/>
  <c r="J109" i="23"/>
  <c r="S109" i="23"/>
  <c r="K109" i="23"/>
  <c r="T109" i="23"/>
  <c r="K72" i="23"/>
  <c r="T72" i="23"/>
  <c r="H72" i="23"/>
  <c r="Q72" i="23"/>
  <c r="G72" i="23"/>
  <c r="P72" i="23"/>
  <c r="J72" i="23"/>
  <c r="S72" i="23"/>
  <c r="F72" i="23"/>
  <c r="O72" i="23"/>
  <c r="I72" i="23"/>
  <c r="R72" i="23"/>
  <c r="G62" i="23"/>
  <c r="P62" i="23"/>
  <c r="K62" i="23"/>
  <c r="T62" i="23"/>
  <c r="J62" i="23"/>
  <c r="S62" i="23"/>
  <c r="I62" i="23"/>
  <c r="R62" i="23"/>
  <c r="H5" i="44"/>
  <c r="E19" i="2"/>
  <c r="E36" i="2"/>
  <c r="F12" i="44"/>
  <c r="L19" i="2"/>
  <c r="L36" i="2"/>
  <c r="F23" i="44"/>
  <c r="F91" i="37"/>
  <c r="I30" i="23"/>
  <c r="R30" i="23"/>
  <c r="G30" i="23"/>
  <c r="D30" i="23"/>
  <c r="M30" i="23"/>
  <c r="E30" i="23"/>
  <c r="N30" i="23"/>
  <c r="F30" i="23"/>
  <c r="K30" i="23"/>
  <c r="H30" i="23"/>
  <c r="Q30" i="23"/>
  <c r="J30" i="23"/>
  <c r="E34" i="23"/>
  <c r="N34" i="23"/>
  <c r="I34" i="23"/>
  <c r="G34" i="23"/>
  <c r="P34" i="23"/>
  <c r="D34" i="23"/>
  <c r="M34" i="23"/>
  <c r="F34" i="23"/>
  <c r="O34" i="23"/>
  <c r="K34" i="23"/>
  <c r="T34" i="23"/>
  <c r="H34" i="23"/>
  <c r="Q34" i="23"/>
  <c r="J34" i="23"/>
  <c r="G51" i="23"/>
  <c r="P51" i="23"/>
  <c r="F51" i="23"/>
  <c r="O51" i="23"/>
  <c r="D51" i="23"/>
  <c r="M51" i="23"/>
  <c r="H51" i="23"/>
  <c r="Q51" i="23"/>
  <c r="I51" i="23"/>
  <c r="R51" i="23"/>
  <c r="K51" i="23"/>
  <c r="T51" i="23"/>
  <c r="E51" i="23"/>
  <c r="N51" i="23"/>
  <c r="J51" i="23"/>
  <c r="S51" i="23"/>
  <c r="K68" i="23"/>
  <c r="T68" i="23"/>
  <c r="H68" i="23"/>
  <c r="Q68" i="23"/>
  <c r="G68" i="23"/>
  <c r="P68" i="23"/>
  <c r="J68" i="23"/>
  <c r="S68" i="23"/>
  <c r="F68" i="23"/>
  <c r="O68" i="23"/>
  <c r="I68" i="23"/>
  <c r="R68" i="23"/>
  <c r="H10" i="44"/>
  <c r="H23" i="44"/>
  <c r="G19" i="2"/>
  <c r="J64" i="21"/>
  <c r="H8" i="23"/>
  <c r="Q8" i="23"/>
  <c r="J8" i="23"/>
  <c r="S8" i="23"/>
  <c r="F8" i="23"/>
  <c r="I8" i="23"/>
  <c r="D53" i="21"/>
  <c r="Z20" i="23"/>
  <c r="AA20" i="23"/>
  <c r="Z38" i="23"/>
  <c r="AA38" i="23"/>
  <c r="J47" i="23"/>
  <c r="S47" i="23"/>
  <c r="K47" i="23"/>
  <c r="T47" i="23"/>
  <c r="J55" i="23"/>
  <c r="S55" i="23"/>
  <c r="K55" i="23"/>
  <c r="T55" i="23"/>
  <c r="E12" i="23"/>
  <c r="N12" i="23"/>
  <c r="I12" i="23"/>
  <c r="R12" i="23"/>
  <c r="H12" i="23"/>
  <c r="F46" i="49"/>
  <c r="G62" i="49"/>
  <c r="G72" i="49"/>
  <c r="E23" i="49"/>
  <c r="E72" i="49"/>
  <c r="H23" i="49"/>
  <c r="H72" i="49"/>
  <c r="I23" i="49"/>
  <c r="I72" i="49"/>
  <c r="J23" i="49"/>
  <c r="J72" i="49"/>
  <c r="K72" i="49"/>
  <c r="G25" i="48"/>
  <c r="G26" i="48"/>
  <c r="G27" i="48"/>
  <c r="G29" i="48"/>
  <c r="G30" i="48"/>
  <c r="G33" i="48"/>
  <c r="G34" i="48"/>
  <c r="L10" i="49"/>
  <c r="L23" i="49"/>
  <c r="L72" i="49"/>
  <c r="M72" i="49"/>
  <c r="M23" i="48"/>
  <c r="F49" i="21"/>
  <c r="H17" i="48"/>
  <c r="I11" i="49"/>
  <c r="E85" i="44"/>
  <c r="G34" i="21"/>
  <c r="G66" i="21"/>
  <c r="J66" i="21"/>
  <c r="G33" i="21"/>
  <c r="G31" i="21"/>
  <c r="G63" i="21"/>
  <c r="G30" i="21"/>
  <c r="D30" i="21"/>
  <c r="D56" i="21"/>
  <c r="D58" i="21"/>
  <c r="D65" i="21"/>
  <c r="I9" i="23"/>
  <c r="R9" i="23"/>
  <c r="G28" i="2"/>
  <c r="G46" i="49"/>
  <c r="I56" i="21"/>
  <c r="I58" i="21"/>
  <c r="I65" i="21"/>
  <c r="K46" i="23"/>
  <c r="I46" i="23"/>
  <c r="R46" i="23"/>
  <c r="E91" i="37"/>
  <c r="K7" i="23"/>
  <c r="I7" i="23"/>
  <c r="H7" i="23"/>
  <c r="Q7" i="23"/>
  <c r="F7" i="23"/>
  <c r="F14" i="23"/>
  <c r="O14" i="23"/>
  <c r="G14" i="23"/>
  <c r="D14" i="23"/>
  <c r="K14" i="23"/>
  <c r="H14" i="23"/>
  <c r="Q14" i="23"/>
  <c r="I14" i="23"/>
  <c r="E14" i="23"/>
  <c r="J14" i="23"/>
  <c r="F70" i="21"/>
  <c r="J38" i="21"/>
  <c r="R98" i="23"/>
  <c r="G46" i="23"/>
  <c r="H46" i="23"/>
  <c r="I15" i="33"/>
  <c r="E49" i="21"/>
  <c r="E48" i="21"/>
  <c r="L55" i="33"/>
  <c r="M49" i="33"/>
  <c r="M41" i="33"/>
  <c r="M33" i="33"/>
  <c r="L33" i="33"/>
  <c r="I27" i="33"/>
  <c r="J27" i="33"/>
  <c r="M26" i="33"/>
  <c r="L26" i="33"/>
  <c r="L24" i="33"/>
  <c r="M24" i="33"/>
  <c r="I25" i="23"/>
  <c r="R25" i="23"/>
  <c r="H25" i="23"/>
  <c r="Q25" i="23"/>
  <c r="J25" i="23"/>
  <c r="S25" i="23"/>
  <c r="E25" i="23"/>
  <c r="N25" i="23"/>
  <c r="F78" i="37"/>
  <c r="E18" i="23"/>
  <c r="G18" i="23"/>
  <c r="P18" i="23"/>
  <c r="H47" i="23"/>
  <c r="D47" i="23"/>
  <c r="M47" i="23"/>
  <c r="F47" i="23"/>
  <c r="H55" i="23"/>
  <c r="Q55" i="23"/>
  <c r="D55" i="23"/>
  <c r="M55" i="23"/>
  <c r="F55" i="23"/>
  <c r="O55" i="23"/>
  <c r="L57" i="33"/>
  <c r="I108" i="23"/>
  <c r="R108" i="23"/>
  <c r="H108" i="23"/>
  <c r="Q108" i="23"/>
  <c r="I105" i="23"/>
  <c r="H105" i="23"/>
  <c r="Q105" i="23"/>
  <c r="E104" i="23"/>
  <c r="N104" i="23"/>
  <c r="D104" i="23"/>
  <c r="M104" i="23"/>
  <c r="I104" i="23"/>
  <c r="R104" i="23"/>
  <c r="H104" i="23"/>
  <c r="Q104" i="23"/>
  <c r="E101" i="23"/>
  <c r="D101" i="23"/>
  <c r="I101" i="23"/>
  <c r="H101" i="23"/>
  <c r="Q101" i="23"/>
  <c r="I100" i="23"/>
  <c r="R100" i="23"/>
  <c r="H100" i="23"/>
  <c r="Q100" i="23"/>
  <c r="K98" i="23"/>
  <c r="T98" i="23"/>
  <c r="E98" i="23"/>
  <c r="N98" i="23"/>
  <c r="H98" i="23"/>
  <c r="K80" i="23"/>
  <c r="D80" i="23"/>
  <c r="M80" i="23"/>
  <c r="H80" i="23"/>
  <c r="J26" i="23"/>
  <c r="D26" i="23"/>
  <c r="E26" i="23"/>
  <c r="N26" i="23"/>
  <c r="M12" i="33"/>
  <c r="M20" i="33"/>
  <c r="M28" i="33"/>
  <c r="M36" i="33"/>
  <c r="M44" i="33"/>
  <c r="M52" i="33"/>
  <c r="N19" i="34"/>
  <c r="M51" i="33"/>
  <c r="K56" i="33"/>
  <c r="K54" i="33"/>
  <c r="K52" i="33"/>
  <c r="K50" i="33"/>
  <c r="K48" i="33"/>
  <c r="K44" i="33"/>
  <c r="K42" i="33"/>
  <c r="K40" i="33"/>
  <c r="K32" i="33"/>
  <c r="K38" i="33"/>
  <c r="K20" i="33"/>
  <c r="O18" i="34"/>
  <c r="K5" i="44"/>
  <c r="M5" i="44"/>
  <c r="D107" i="23"/>
  <c r="M107" i="23"/>
  <c r="I107" i="23"/>
  <c r="R107" i="23"/>
  <c r="H107" i="23"/>
  <c r="Q107" i="23"/>
  <c r="E106" i="23"/>
  <c r="N106" i="23"/>
  <c r="D106" i="23"/>
  <c r="M106" i="23"/>
  <c r="H106" i="23"/>
  <c r="E103" i="23"/>
  <c r="N103" i="23"/>
  <c r="I103" i="23"/>
  <c r="R103" i="23"/>
  <c r="H103" i="23"/>
  <c r="Q103" i="23"/>
  <c r="G64" i="49"/>
  <c r="F27" i="48"/>
  <c r="O18" i="48"/>
  <c r="H18" i="48"/>
  <c r="J11" i="49"/>
  <c r="J47" i="49"/>
  <c r="O18" i="2"/>
  <c r="E43" i="21"/>
  <c r="E41" i="21"/>
  <c r="E30" i="21"/>
  <c r="F57" i="21"/>
  <c r="D9" i="23"/>
  <c r="G34" i="2"/>
  <c r="L10" i="44"/>
  <c r="I19" i="48"/>
  <c r="K11" i="23"/>
  <c r="T11" i="23"/>
  <c r="D11" i="23"/>
  <c r="M11" i="23"/>
  <c r="J11" i="23"/>
  <c r="S11" i="23"/>
  <c r="G11" i="23"/>
  <c r="P11" i="23"/>
  <c r="I11" i="23"/>
  <c r="R11" i="23"/>
  <c r="F11" i="23"/>
  <c r="O11" i="23"/>
  <c r="H11" i="23"/>
  <c r="Q11" i="23"/>
  <c r="E11" i="23"/>
  <c r="N11" i="23"/>
  <c r="D69" i="21"/>
  <c r="G79" i="23"/>
  <c r="P79" i="23"/>
  <c r="D79" i="23"/>
  <c r="M79" i="23"/>
  <c r="H79" i="23"/>
  <c r="Q79" i="23"/>
  <c r="E79" i="23"/>
  <c r="N79" i="23"/>
  <c r="F79" i="23"/>
  <c r="I79" i="23"/>
  <c r="R79" i="23"/>
  <c r="K79" i="23"/>
  <c r="T79" i="23"/>
  <c r="J79" i="23"/>
  <c r="S79" i="23"/>
  <c r="E17" i="23"/>
  <c r="N17" i="23"/>
  <c r="J34" i="21"/>
  <c r="F61" i="23"/>
  <c r="O61" i="23"/>
  <c r="I61" i="23"/>
  <c r="R61" i="23"/>
  <c r="E61" i="23"/>
  <c r="N61" i="23"/>
  <c r="J61" i="23"/>
  <c r="S61" i="23"/>
  <c r="G61" i="23"/>
  <c r="P61" i="23"/>
  <c r="D61" i="23"/>
  <c r="M61" i="23"/>
  <c r="H61" i="23"/>
  <c r="Q61" i="23"/>
  <c r="K61" i="23"/>
  <c r="T61" i="23"/>
  <c r="K9" i="23"/>
  <c r="T9" i="23"/>
  <c r="E9" i="23"/>
  <c r="N9" i="23"/>
  <c r="J9" i="23"/>
  <c r="S9" i="23"/>
  <c r="G9" i="23"/>
  <c r="P9" i="23"/>
  <c r="G56" i="21"/>
  <c r="G58" i="21"/>
  <c r="G65" i="21"/>
  <c r="G62" i="21"/>
  <c r="Q12" i="23"/>
  <c r="D57" i="21"/>
  <c r="D62" i="21"/>
  <c r="H46" i="44"/>
  <c r="H57" i="44"/>
  <c r="O30" i="23"/>
  <c r="F25" i="44"/>
  <c r="F93" i="37"/>
  <c r="O36" i="23"/>
  <c r="F99" i="23"/>
  <c r="O99" i="23"/>
  <c r="E99" i="23"/>
  <c r="N99" i="23"/>
  <c r="K99" i="23"/>
  <c r="T99" i="23"/>
  <c r="H99" i="23"/>
  <c r="Q99" i="23"/>
  <c r="G99" i="23"/>
  <c r="P99" i="23"/>
  <c r="I99" i="23"/>
  <c r="R99" i="23"/>
  <c r="D99" i="23"/>
  <c r="M99" i="23"/>
  <c r="J99" i="23"/>
  <c r="S99" i="23"/>
  <c r="K64" i="23"/>
  <c r="T64" i="23"/>
  <c r="H64" i="23"/>
  <c r="Q64" i="23"/>
  <c r="G64" i="23"/>
  <c r="P64" i="23"/>
  <c r="J64" i="23"/>
  <c r="S64" i="23"/>
  <c r="F64" i="23"/>
  <c r="O64" i="23"/>
  <c r="I64" i="23"/>
  <c r="R64" i="23"/>
  <c r="D64" i="23"/>
  <c r="M64" i="23"/>
  <c r="E64" i="23"/>
  <c r="N64" i="23"/>
  <c r="I34" i="48"/>
  <c r="O8" i="23"/>
  <c r="S34" i="23"/>
  <c r="R34" i="23"/>
  <c r="S30" i="23"/>
  <c r="T30" i="23"/>
  <c r="P30" i="23"/>
  <c r="F83" i="44"/>
  <c r="S36" i="23"/>
  <c r="G36" i="2"/>
  <c r="J33" i="21"/>
  <c r="E73" i="21"/>
  <c r="E56" i="21"/>
  <c r="E58" i="21"/>
  <c r="E65" i="21"/>
  <c r="E75" i="21"/>
  <c r="N18" i="34"/>
  <c r="M18" i="34"/>
  <c r="I38" i="33"/>
  <c r="J38" i="33"/>
  <c r="I40" i="33"/>
  <c r="J40" i="33"/>
  <c r="I44" i="33"/>
  <c r="J44" i="33"/>
  <c r="I50" i="33"/>
  <c r="J50" i="33"/>
  <c r="I54" i="33"/>
  <c r="J54" i="33"/>
  <c r="M26" i="23"/>
  <c r="Q80" i="23"/>
  <c r="T80" i="23"/>
  <c r="M101" i="23"/>
  <c r="O47" i="23"/>
  <c r="Q47" i="23"/>
  <c r="P46" i="23"/>
  <c r="E50" i="23"/>
  <c r="N50" i="23"/>
  <c r="K50" i="23"/>
  <c r="T50" i="23"/>
  <c r="F50" i="23"/>
  <c r="O50" i="23"/>
  <c r="I50" i="23"/>
  <c r="R50" i="23"/>
  <c r="D50" i="23"/>
  <c r="M50" i="23"/>
  <c r="J50" i="23"/>
  <c r="S50" i="23"/>
  <c r="J70" i="21"/>
  <c r="H50" i="23"/>
  <c r="Q50" i="23"/>
  <c r="G50" i="23"/>
  <c r="P50" i="23"/>
  <c r="M14" i="23"/>
  <c r="O7" i="23"/>
  <c r="R7" i="23"/>
  <c r="E62" i="21"/>
  <c r="H116" i="23"/>
  <c r="Q116" i="23"/>
  <c r="Q106" i="23"/>
  <c r="I20" i="33"/>
  <c r="J20" i="33"/>
  <c r="I32" i="33"/>
  <c r="J32" i="33"/>
  <c r="I42" i="33"/>
  <c r="J42" i="33"/>
  <c r="I48" i="33"/>
  <c r="J48" i="33"/>
  <c r="I52" i="33"/>
  <c r="J52" i="33"/>
  <c r="I56" i="33"/>
  <c r="J56" i="33"/>
  <c r="S26" i="23"/>
  <c r="Q98" i="23"/>
  <c r="R101" i="23"/>
  <c r="N101" i="23"/>
  <c r="R105" i="23"/>
  <c r="N18" i="23"/>
  <c r="Q46" i="23"/>
  <c r="S14" i="23"/>
  <c r="R14" i="23"/>
  <c r="T14" i="23"/>
  <c r="P14" i="23"/>
  <c r="M9" i="23"/>
  <c r="T7" i="23"/>
  <c r="T46" i="23"/>
  <c r="O79" i="23"/>
  <c r="F13" i="23"/>
  <c r="K13" i="23"/>
  <c r="T13" i="23"/>
  <c r="D13" i="23"/>
  <c r="M13" i="23"/>
  <c r="E13" i="23"/>
  <c r="N13" i="23"/>
  <c r="J13" i="23"/>
  <c r="G13" i="23"/>
  <c r="P13" i="23"/>
  <c r="H13" i="23"/>
  <c r="Q13" i="23"/>
  <c r="I13" i="23"/>
  <c r="R13" i="23"/>
  <c r="K6" i="23"/>
  <c r="T6" i="23"/>
  <c r="K8" i="23"/>
  <c r="T8" i="23"/>
  <c r="K15" i="23"/>
  <c r="T15" i="23"/>
  <c r="K16" i="23"/>
  <c r="T16" i="23"/>
  <c r="K17" i="23"/>
  <c r="T17" i="23"/>
  <c r="K18" i="23"/>
  <c r="T18" i="23"/>
  <c r="T20" i="23"/>
  <c r="D6" i="23"/>
  <c r="M6" i="23"/>
  <c r="H6" i="23"/>
  <c r="Q6" i="23"/>
  <c r="G6" i="23"/>
  <c r="P6" i="23"/>
  <c r="G7" i="23"/>
  <c r="P7" i="23"/>
  <c r="G10" i="23"/>
  <c r="P10" i="23"/>
  <c r="G15" i="23"/>
  <c r="P15" i="23"/>
  <c r="G16" i="23"/>
  <c r="P16" i="23"/>
  <c r="G17" i="23"/>
  <c r="P17" i="23"/>
  <c r="G19" i="23"/>
  <c r="P19" i="23"/>
  <c r="P20" i="23"/>
  <c r="E6" i="23"/>
  <c r="N6" i="23"/>
  <c r="J6" i="23"/>
  <c r="S6" i="23"/>
  <c r="F6" i="23"/>
  <c r="O6" i="23"/>
  <c r="I6" i="23"/>
  <c r="R6" i="23"/>
  <c r="D60" i="23"/>
  <c r="M60" i="23"/>
  <c r="K60" i="23"/>
  <c r="T60" i="23"/>
  <c r="J60" i="23"/>
  <c r="S60" i="23"/>
  <c r="F60" i="23"/>
  <c r="E60" i="23"/>
  <c r="N60" i="23"/>
  <c r="H60" i="23"/>
  <c r="Q60" i="23"/>
  <c r="G60" i="23"/>
  <c r="P60" i="23"/>
  <c r="I60" i="23"/>
  <c r="R60" i="23"/>
  <c r="H83" i="44"/>
  <c r="E24" i="23"/>
  <c r="N24" i="23"/>
  <c r="K24" i="23"/>
  <c r="D24" i="23"/>
  <c r="M24" i="23"/>
  <c r="I24" i="23"/>
  <c r="R24" i="23"/>
  <c r="I27" i="23"/>
  <c r="R27" i="23"/>
  <c r="E35" i="21"/>
  <c r="E67" i="21"/>
  <c r="I29" i="23"/>
  <c r="R29" i="23"/>
  <c r="E37" i="21"/>
  <c r="E69" i="21"/>
  <c r="I31" i="23"/>
  <c r="R31" i="23"/>
  <c r="E39" i="21"/>
  <c r="E71" i="21"/>
  <c r="I33" i="23"/>
  <c r="R33" i="23"/>
  <c r="I35" i="23"/>
  <c r="R35" i="23"/>
  <c r="I37" i="23"/>
  <c r="R37" i="23"/>
  <c r="R38" i="23"/>
  <c r="H24" i="23"/>
  <c r="Q24" i="23"/>
  <c r="F24" i="23"/>
  <c r="O24" i="23"/>
  <c r="G24" i="23"/>
  <c r="P24" i="23"/>
  <c r="J24" i="23"/>
  <c r="S24" i="23"/>
  <c r="J27" i="23"/>
  <c r="S27" i="23"/>
  <c r="J29" i="23"/>
  <c r="S29" i="23"/>
  <c r="J31" i="23"/>
  <c r="S31" i="23"/>
  <c r="J33" i="23"/>
  <c r="S33" i="23"/>
  <c r="J35" i="23"/>
  <c r="S35" i="23"/>
  <c r="J37" i="23"/>
  <c r="S37" i="23"/>
  <c r="S38" i="23"/>
  <c r="D37" i="23"/>
  <c r="M37" i="23"/>
  <c r="K37" i="23"/>
  <c r="T37" i="23"/>
  <c r="H37" i="23"/>
  <c r="G37" i="23"/>
  <c r="P37" i="23"/>
  <c r="F37" i="23"/>
  <c r="O37" i="23"/>
  <c r="E37" i="23"/>
  <c r="N37" i="23"/>
  <c r="F35" i="23"/>
  <c r="O35" i="23"/>
  <c r="H35" i="23"/>
  <c r="Q35" i="23"/>
  <c r="G35" i="23"/>
  <c r="P35" i="23"/>
  <c r="K35" i="23"/>
  <c r="T35" i="23"/>
  <c r="D35" i="23"/>
  <c r="E35" i="23"/>
  <c r="N35" i="23"/>
  <c r="S13" i="23"/>
  <c r="O13" i="23"/>
  <c r="O60" i="23"/>
  <c r="M35" i="23"/>
  <c r="Q37" i="23"/>
  <c r="T24" i="23"/>
  <c r="K27" i="23"/>
  <c r="T27" i="23"/>
  <c r="K29" i="23"/>
  <c r="T29" i="23"/>
  <c r="K31" i="23"/>
  <c r="T31" i="23"/>
  <c r="K33" i="23"/>
  <c r="T33" i="23"/>
  <c r="T38" i="23"/>
  <c r="J24" i="49"/>
  <c r="E54" i="23"/>
  <c r="D54" i="23"/>
  <c r="M54" i="23"/>
  <c r="H54" i="23"/>
  <c r="J54" i="23"/>
  <c r="G54" i="23"/>
  <c r="E90" i="23"/>
  <c r="N90" i="23"/>
  <c r="F90" i="23"/>
  <c r="O90" i="23"/>
  <c r="I90" i="23"/>
  <c r="R90" i="23"/>
  <c r="J90" i="23"/>
  <c r="S90" i="23"/>
  <c r="D90" i="23"/>
  <c r="M90" i="23"/>
  <c r="H90" i="23"/>
  <c r="Q90" i="23"/>
  <c r="E47" i="49"/>
  <c r="F49" i="44"/>
  <c r="E26" i="49"/>
  <c r="I18" i="23"/>
  <c r="F18" i="23"/>
  <c r="O18" i="23"/>
  <c r="D18" i="23"/>
  <c r="J74" i="21"/>
  <c r="H47" i="44"/>
  <c r="H58" i="44"/>
  <c r="H24" i="44"/>
  <c r="I83" i="23"/>
  <c r="R83" i="23"/>
  <c r="E83" i="23"/>
  <c r="N83" i="23"/>
  <c r="H83" i="23"/>
  <c r="Q83" i="23"/>
  <c r="D83" i="23"/>
  <c r="M83" i="23"/>
  <c r="G83" i="23"/>
  <c r="P83" i="23"/>
  <c r="F83" i="23"/>
  <c r="O83" i="23"/>
  <c r="K83" i="23"/>
  <c r="T83" i="23"/>
  <c r="J83" i="23"/>
  <c r="S83" i="23"/>
  <c r="I87" i="23"/>
  <c r="R87" i="23"/>
  <c r="H87" i="23"/>
  <c r="Q87" i="23"/>
  <c r="K87" i="23"/>
  <c r="T87" i="23"/>
  <c r="J87" i="23"/>
  <c r="S87" i="23"/>
  <c r="G87" i="23"/>
  <c r="P87" i="23"/>
  <c r="F87" i="23"/>
  <c r="O87" i="23"/>
  <c r="E87" i="23"/>
  <c r="N87" i="23"/>
  <c r="D87" i="23"/>
  <c r="M87" i="23"/>
  <c r="I91" i="23"/>
  <c r="R91" i="23"/>
  <c r="H91" i="23"/>
  <c r="Q91" i="23"/>
  <c r="K91" i="23"/>
  <c r="T91" i="23"/>
  <c r="J91" i="23"/>
  <c r="S91" i="23"/>
  <c r="G91" i="23"/>
  <c r="P91" i="23"/>
  <c r="F91" i="23"/>
  <c r="O91" i="23"/>
  <c r="E91" i="23"/>
  <c r="N91" i="23"/>
  <c r="D91" i="23"/>
  <c r="M91" i="23"/>
  <c r="J29" i="44"/>
  <c r="J89" i="44"/>
  <c r="J52" i="44"/>
  <c r="J63" i="44"/>
  <c r="I52" i="49"/>
  <c r="I29" i="49"/>
  <c r="I78" i="49"/>
  <c r="H16" i="49"/>
  <c r="H29" i="49"/>
  <c r="H78" i="49"/>
  <c r="H25" i="49"/>
  <c r="H74" i="49"/>
  <c r="H9" i="23"/>
  <c r="F9" i="23"/>
  <c r="O9" i="23"/>
  <c r="D7" i="23"/>
  <c r="M7" i="23"/>
  <c r="E7" i="23"/>
  <c r="J7" i="23"/>
  <c r="S7" i="23"/>
  <c r="F47" i="49"/>
  <c r="F24" i="49"/>
  <c r="G25" i="23"/>
  <c r="P25" i="23"/>
  <c r="D25" i="23"/>
  <c r="M25" i="23"/>
  <c r="F49" i="49"/>
  <c r="F75" i="49"/>
  <c r="E16" i="23"/>
  <c r="N16" i="23"/>
  <c r="J46" i="33"/>
  <c r="I46" i="33"/>
  <c r="H102" i="23"/>
  <c r="Q102" i="23"/>
  <c r="D102" i="23"/>
  <c r="E102" i="23"/>
  <c r="N102" i="23"/>
  <c r="J102" i="23"/>
  <c r="S102" i="23"/>
  <c r="N34" i="33"/>
  <c r="K34" i="33"/>
  <c r="E108" i="23"/>
  <c r="N108" i="23"/>
  <c r="D108" i="23"/>
  <c r="M108" i="23"/>
  <c r="J108" i="23"/>
  <c r="S108" i="23"/>
  <c r="E100" i="23"/>
  <c r="N100" i="23"/>
  <c r="D100" i="23"/>
  <c r="M100" i="23"/>
  <c r="J100" i="23"/>
  <c r="S100" i="23"/>
  <c r="F46" i="23"/>
  <c r="E46" i="23"/>
  <c r="N46" i="23"/>
  <c r="D46" i="23"/>
  <c r="M46" i="23"/>
  <c r="H15" i="23"/>
  <c r="J68" i="21"/>
  <c r="J42" i="21"/>
  <c r="D19" i="23"/>
  <c r="M19" i="23"/>
  <c r="J19" i="23"/>
  <c r="S19" i="23"/>
  <c r="I19" i="23"/>
  <c r="R19" i="23"/>
  <c r="F19" i="23"/>
  <c r="O19" i="23"/>
  <c r="I15" i="23"/>
  <c r="R15" i="23"/>
  <c r="G48" i="23"/>
  <c r="P48" i="23"/>
  <c r="K48" i="23"/>
  <c r="H48" i="23"/>
  <c r="Q48" i="23"/>
  <c r="I24" i="44"/>
  <c r="I92" i="37"/>
  <c r="H19" i="23"/>
  <c r="Q19" i="23"/>
  <c r="E19" i="23"/>
  <c r="N19" i="23"/>
  <c r="E86" i="23"/>
  <c r="N86" i="23"/>
  <c r="F72" i="21"/>
  <c r="I49" i="23"/>
  <c r="R49" i="23"/>
  <c r="J53" i="23"/>
  <c r="S53" i="23"/>
  <c r="E53" i="23"/>
  <c r="N53" i="23"/>
  <c r="K53" i="23"/>
  <c r="T53" i="23"/>
  <c r="I53" i="23"/>
  <c r="K55" i="33"/>
  <c r="K49" i="33"/>
  <c r="K41" i="33"/>
  <c r="J28" i="33"/>
  <c r="K24" i="33"/>
  <c r="K12" i="33"/>
  <c r="K9" i="33"/>
  <c r="H48" i="21"/>
  <c r="L15" i="48"/>
  <c r="G12" i="49"/>
  <c r="H30" i="21"/>
  <c r="H56" i="21"/>
  <c r="H58" i="21"/>
  <c r="H65" i="21"/>
  <c r="F31" i="21"/>
  <c r="J31" i="21"/>
  <c r="F30" i="21"/>
  <c r="F56" i="21"/>
  <c r="F58" i="21"/>
  <c r="F65" i="21"/>
  <c r="J30" i="21"/>
  <c r="F62" i="21"/>
  <c r="H62" i="21"/>
  <c r="J9" i="33"/>
  <c r="I9" i="33"/>
  <c r="J55" i="33"/>
  <c r="I55" i="33"/>
  <c r="J12" i="33"/>
  <c r="I12" i="33"/>
  <c r="J49" i="33"/>
  <c r="I49" i="33"/>
  <c r="R53" i="23"/>
  <c r="J34" i="33"/>
  <c r="I34" i="33"/>
  <c r="M102" i="23"/>
  <c r="F73" i="49"/>
  <c r="H92" i="37"/>
  <c r="H84" i="44"/>
  <c r="M18" i="23"/>
  <c r="F94" i="37"/>
  <c r="P54" i="23"/>
  <c r="Q54" i="23"/>
  <c r="N54" i="23"/>
  <c r="F63" i="21"/>
  <c r="J24" i="33"/>
  <c r="I24" i="33"/>
  <c r="J41" i="33"/>
  <c r="I41" i="33"/>
  <c r="E52" i="23"/>
  <c r="N52" i="23"/>
  <c r="G52" i="23"/>
  <c r="P52" i="23"/>
  <c r="K52" i="23"/>
  <c r="T52" i="23"/>
  <c r="H52" i="23"/>
  <c r="Q52" i="23"/>
  <c r="D52" i="23"/>
  <c r="M52" i="23"/>
  <c r="F52" i="23"/>
  <c r="O52" i="23"/>
  <c r="I52" i="23"/>
  <c r="R52" i="23"/>
  <c r="J52" i="23"/>
  <c r="J72" i="21"/>
  <c r="T48" i="23"/>
  <c r="Q15" i="23"/>
  <c r="O46" i="23"/>
  <c r="L34" i="33"/>
  <c r="M34" i="33"/>
  <c r="N7" i="23"/>
  <c r="Q9" i="23"/>
  <c r="H52" i="49"/>
  <c r="R18" i="23"/>
  <c r="E75" i="49"/>
  <c r="F60" i="44"/>
  <c r="S54" i="23"/>
  <c r="J73" i="49"/>
  <c r="F42" i="23"/>
  <c r="H42" i="23"/>
  <c r="Q42" i="23"/>
  <c r="G42" i="23"/>
  <c r="P42" i="23"/>
  <c r="I42" i="23"/>
  <c r="R42" i="23"/>
  <c r="K42" i="23"/>
  <c r="T42" i="23"/>
  <c r="E42" i="23"/>
  <c r="N42" i="23"/>
  <c r="J42" i="23"/>
  <c r="S42" i="23"/>
  <c r="D42" i="23"/>
  <c r="M42" i="23"/>
  <c r="F31" i="23"/>
  <c r="H31" i="23"/>
  <c r="Q31" i="23"/>
  <c r="G31" i="23"/>
  <c r="P31" i="23"/>
  <c r="E31" i="23"/>
  <c r="N31" i="23"/>
  <c r="D31" i="23"/>
  <c r="M31" i="23"/>
  <c r="S52" i="23"/>
  <c r="E43" i="23"/>
  <c r="N43" i="23"/>
  <c r="D43" i="23"/>
  <c r="K43" i="23"/>
  <c r="T43" i="23"/>
  <c r="I43" i="23"/>
  <c r="R43" i="23"/>
  <c r="J43" i="23"/>
  <c r="F43" i="23"/>
  <c r="O43" i="23"/>
  <c r="G43" i="23"/>
  <c r="P43" i="23"/>
  <c r="H43" i="23"/>
  <c r="G78" i="23"/>
  <c r="F78" i="23"/>
  <c r="O78" i="23"/>
  <c r="I78" i="23"/>
  <c r="R78" i="23"/>
  <c r="K78" i="23"/>
  <c r="T78" i="23"/>
  <c r="H78" i="23"/>
  <c r="Q78" i="23"/>
  <c r="D78" i="23"/>
  <c r="M78" i="23"/>
  <c r="E78" i="23"/>
  <c r="N78" i="23"/>
  <c r="J78" i="23"/>
  <c r="S78" i="23"/>
  <c r="P78" i="23"/>
  <c r="Q43" i="23"/>
  <c r="S43" i="23"/>
  <c r="O31" i="23"/>
  <c r="O42" i="23"/>
  <c r="M43" i="23"/>
  <c r="E47" i="44"/>
  <c r="E58" i="44"/>
  <c r="E24" i="44"/>
  <c r="E92" i="37"/>
  <c r="E100" i="37"/>
  <c r="E126" i="23"/>
  <c r="N126" i="23"/>
  <c r="D126" i="23"/>
  <c r="M126" i="23"/>
  <c r="Z92" i="23"/>
  <c r="AA92" i="23"/>
  <c r="E46" i="49"/>
  <c r="E122" i="23"/>
  <c r="N122" i="23"/>
  <c r="R8" i="23"/>
  <c r="I116" i="23"/>
  <c r="R116" i="23"/>
  <c r="F57" i="44"/>
  <c r="J47" i="44"/>
  <c r="J58" i="44"/>
  <c r="J24" i="44"/>
  <c r="J92" i="37"/>
  <c r="L10" i="34"/>
  <c r="O10" i="34"/>
  <c r="N10" i="34"/>
  <c r="H26" i="49"/>
  <c r="H75" i="49"/>
  <c r="H49" i="49"/>
  <c r="H52" i="44"/>
  <c r="H63" i="44"/>
  <c r="H29" i="44"/>
  <c r="H48" i="44"/>
  <c r="H59" i="44"/>
  <c r="H25" i="44"/>
  <c r="H85" i="44"/>
  <c r="G24" i="44"/>
  <c r="G47" i="44"/>
  <c r="G58" i="44"/>
  <c r="H126" i="23"/>
  <c r="Q126" i="23"/>
  <c r="F101" i="37"/>
  <c r="L19" i="48"/>
  <c r="F85" i="44"/>
  <c r="J116" i="23"/>
  <c r="S116" i="23"/>
  <c r="N14" i="23"/>
  <c r="F48" i="44"/>
  <c r="E24" i="49"/>
  <c r="E73" i="49"/>
  <c r="F116" i="23"/>
  <c r="O116" i="23"/>
  <c r="I36" i="48"/>
  <c r="K10" i="44"/>
  <c r="G116" i="23"/>
  <c r="P116" i="23"/>
  <c r="E48" i="49"/>
  <c r="G47" i="49"/>
  <c r="H19" i="2"/>
  <c r="H36" i="2"/>
  <c r="G19" i="48"/>
  <c r="F25" i="49"/>
  <c r="F74" i="49"/>
  <c r="G83" i="44"/>
  <c r="K11" i="34"/>
  <c r="J18" i="34"/>
  <c r="I10" i="34"/>
  <c r="I17" i="34"/>
  <c r="I15" i="34"/>
  <c r="I13" i="34"/>
  <c r="I8" i="34"/>
  <c r="E29" i="23"/>
  <c r="F29" i="23"/>
  <c r="D29" i="23"/>
  <c r="G29" i="23"/>
  <c r="H29" i="23"/>
  <c r="G33" i="23"/>
  <c r="P33" i="23"/>
  <c r="D33" i="23"/>
  <c r="M33" i="23"/>
  <c r="H33" i="23"/>
  <c r="F33" i="23"/>
  <c r="O33" i="23"/>
  <c r="E33" i="23"/>
  <c r="N33" i="23"/>
  <c r="G81" i="23"/>
  <c r="I81" i="23"/>
  <c r="F81" i="23"/>
  <c r="E81" i="23"/>
  <c r="N81" i="23"/>
  <c r="K81" i="23"/>
  <c r="H81" i="23"/>
  <c r="Q81" i="23"/>
  <c r="J81" i="23"/>
  <c r="D81" i="23"/>
  <c r="H27" i="23"/>
  <c r="G27" i="23"/>
  <c r="D27" i="23"/>
  <c r="J65" i="21"/>
  <c r="E27" i="23"/>
  <c r="F27" i="23"/>
  <c r="G63" i="23"/>
  <c r="D63" i="23"/>
  <c r="K63" i="23"/>
  <c r="J63" i="23"/>
  <c r="F63" i="23"/>
  <c r="E63" i="23"/>
  <c r="I63" i="23"/>
  <c r="H63" i="23"/>
  <c r="I45" i="23"/>
  <c r="E45" i="23"/>
  <c r="N45" i="23"/>
  <c r="G45" i="23"/>
  <c r="K45" i="23"/>
  <c r="F45" i="23"/>
  <c r="H45" i="23"/>
  <c r="D45" i="23"/>
  <c r="J45" i="23"/>
  <c r="S45" i="23"/>
  <c r="F17" i="23"/>
  <c r="I17" i="23"/>
  <c r="I20" i="23"/>
  <c r="D17" i="23"/>
  <c r="J17" i="23"/>
  <c r="H17" i="23"/>
  <c r="J15" i="23"/>
  <c r="F15" i="23"/>
  <c r="D15" i="23"/>
  <c r="E15" i="23"/>
  <c r="K84" i="23"/>
  <c r="T84" i="23"/>
  <c r="D84" i="23"/>
  <c r="M84" i="23"/>
  <c r="H84" i="23"/>
  <c r="Q84" i="23"/>
  <c r="E84" i="23"/>
  <c r="N84" i="23"/>
  <c r="G84" i="23"/>
  <c r="P84" i="23"/>
  <c r="I84" i="23"/>
  <c r="R84" i="23"/>
  <c r="F84" i="23"/>
  <c r="O84" i="23"/>
  <c r="J84" i="23"/>
  <c r="S84" i="23"/>
  <c r="E88" i="23"/>
  <c r="H88" i="23"/>
  <c r="H124" i="23"/>
  <c r="Q124" i="23"/>
  <c r="D88" i="23"/>
  <c r="M88" i="23"/>
  <c r="K88" i="23"/>
  <c r="G88" i="23"/>
  <c r="I88" i="23"/>
  <c r="F88" i="23"/>
  <c r="O88" i="23"/>
  <c r="J88" i="23"/>
  <c r="I54" i="23"/>
  <c r="I126" i="23"/>
  <c r="F54" i="23"/>
  <c r="K54" i="23"/>
  <c r="T54" i="23"/>
  <c r="S19" i="2"/>
  <c r="G16" i="44"/>
  <c r="I82" i="23"/>
  <c r="R82" i="23"/>
  <c r="E82" i="23"/>
  <c r="K82" i="23"/>
  <c r="H82" i="23"/>
  <c r="J82" i="23"/>
  <c r="S82" i="23"/>
  <c r="G82" i="23"/>
  <c r="P82" i="23"/>
  <c r="F82" i="23"/>
  <c r="O82" i="23"/>
  <c r="D82" i="23"/>
  <c r="M82" i="23"/>
  <c r="D86" i="23"/>
  <c r="I86" i="23"/>
  <c r="I122" i="23"/>
  <c r="H86" i="23"/>
  <c r="G86" i="23"/>
  <c r="P86" i="23"/>
  <c r="J86" i="23"/>
  <c r="S86" i="23"/>
  <c r="K86" i="23"/>
  <c r="F86" i="23"/>
  <c r="G90" i="23"/>
  <c r="K90" i="23"/>
  <c r="T90" i="23"/>
  <c r="I29" i="44"/>
  <c r="I97" i="37"/>
  <c r="I52" i="44"/>
  <c r="I63" i="44"/>
  <c r="J46" i="49"/>
  <c r="I46" i="49"/>
  <c r="K108" i="23"/>
  <c r="T108" i="23"/>
  <c r="F108" i="23"/>
  <c r="O108" i="23"/>
  <c r="G108" i="23"/>
  <c r="G126" i="23"/>
  <c r="P108" i="23"/>
  <c r="J104" i="23"/>
  <c r="S104" i="23"/>
  <c r="K104" i="23"/>
  <c r="T104" i="23"/>
  <c r="F104" i="23"/>
  <c r="O104" i="23"/>
  <c r="G104" i="23"/>
  <c r="P104" i="23"/>
  <c r="K100" i="23"/>
  <c r="T100" i="23"/>
  <c r="F100" i="23"/>
  <c r="O100" i="23"/>
  <c r="G100" i="23"/>
  <c r="P100" i="23"/>
  <c r="I53" i="21"/>
  <c r="I54" i="21"/>
  <c r="I63" i="21"/>
  <c r="J13" i="44"/>
  <c r="K18" i="2"/>
  <c r="D8" i="23"/>
  <c r="E8" i="23"/>
  <c r="D48" i="23"/>
  <c r="E57" i="21"/>
  <c r="J13" i="2"/>
  <c r="K13" i="2"/>
  <c r="E78" i="37"/>
  <c r="K49" i="23"/>
  <c r="E49" i="23"/>
  <c r="J49" i="23"/>
  <c r="G49" i="23"/>
  <c r="J106" i="23"/>
  <c r="S106" i="23"/>
  <c r="F106" i="23"/>
  <c r="O106" i="23"/>
  <c r="G106" i="23"/>
  <c r="P106" i="23"/>
  <c r="K106" i="23"/>
  <c r="T106" i="23"/>
  <c r="F102" i="23"/>
  <c r="O102" i="23"/>
  <c r="G102" i="23"/>
  <c r="P102" i="23"/>
  <c r="K102" i="23"/>
  <c r="T102" i="23"/>
  <c r="K66" i="23"/>
  <c r="H66" i="23"/>
  <c r="Q66" i="23"/>
  <c r="F66" i="23"/>
  <c r="G66" i="23"/>
  <c r="G120" i="23"/>
  <c r="P120" i="23"/>
  <c r="I66" i="23"/>
  <c r="J66" i="23"/>
  <c r="S66" i="23"/>
  <c r="J10" i="23"/>
  <c r="J20" i="23"/>
  <c r="D10" i="23"/>
  <c r="D118" i="23"/>
  <c r="G20" i="23"/>
  <c r="I48" i="21"/>
  <c r="F31" i="48"/>
  <c r="F34" i="48"/>
  <c r="L7" i="49"/>
  <c r="T33" i="48"/>
  <c r="T29" i="48"/>
  <c r="M33" i="48"/>
  <c r="M29" i="48"/>
  <c r="M34" i="48"/>
  <c r="L14" i="49"/>
  <c r="G43" i="21"/>
  <c r="G41" i="21"/>
  <c r="G39" i="21"/>
  <c r="G37" i="21"/>
  <c r="G35" i="21"/>
  <c r="F59" i="44"/>
  <c r="H93" i="37"/>
  <c r="H97" i="37"/>
  <c r="H89" i="44"/>
  <c r="K10" i="34"/>
  <c r="J10" i="34"/>
  <c r="G92" i="37"/>
  <c r="G100" i="37"/>
  <c r="G84" i="44"/>
  <c r="M10" i="34"/>
  <c r="G69" i="21"/>
  <c r="J37" i="21"/>
  <c r="G73" i="21"/>
  <c r="J41" i="21"/>
  <c r="G67" i="21"/>
  <c r="J35" i="21"/>
  <c r="G71" i="21"/>
  <c r="J39" i="21"/>
  <c r="G75" i="21"/>
  <c r="J43" i="21"/>
  <c r="S10" i="23"/>
  <c r="R66" i="23"/>
  <c r="I120" i="23"/>
  <c r="R120" i="23"/>
  <c r="O66" i="23"/>
  <c r="F120" i="23"/>
  <c r="O120" i="23"/>
  <c r="T66" i="23"/>
  <c r="N49" i="23"/>
  <c r="I97" i="23"/>
  <c r="F97" i="23"/>
  <c r="O97" i="23"/>
  <c r="D97" i="23"/>
  <c r="H97" i="23"/>
  <c r="G97" i="23"/>
  <c r="K97" i="23"/>
  <c r="K115" i="23"/>
  <c r="T115" i="23"/>
  <c r="J97" i="23"/>
  <c r="E97" i="23"/>
  <c r="E115" i="23"/>
  <c r="N115" i="23"/>
  <c r="J63" i="21"/>
  <c r="P90" i="23"/>
  <c r="T86" i="23"/>
  <c r="G122" i="23"/>
  <c r="P122" i="23"/>
  <c r="R86" i="23"/>
  <c r="R122" i="23"/>
  <c r="Q82" i="23"/>
  <c r="H118" i="23"/>
  <c r="Q118" i="23"/>
  <c r="E118" i="23"/>
  <c r="N118" i="23"/>
  <c r="N82" i="23"/>
  <c r="G29" i="44"/>
  <c r="G52" i="44"/>
  <c r="K126" i="23"/>
  <c r="T126" i="23"/>
  <c r="R54" i="23"/>
  <c r="R126" i="23"/>
  <c r="S88" i="23"/>
  <c r="J124" i="23"/>
  <c r="S124" i="23"/>
  <c r="R88" i="23"/>
  <c r="I124" i="23"/>
  <c r="R124" i="23"/>
  <c r="T88" i="23"/>
  <c r="K124" i="23"/>
  <c r="T124" i="23"/>
  <c r="Q88" i="23"/>
  <c r="E120" i="23"/>
  <c r="N120" i="23"/>
  <c r="N15" i="23"/>
  <c r="S15" i="23"/>
  <c r="S17" i="23"/>
  <c r="R17" i="23"/>
  <c r="J56" i="23"/>
  <c r="Q45" i="23"/>
  <c r="H56" i="23"/>
  <c r="T45" i="23"/>
  <c r="Q63" i="23"/>
  <c r="N63" i="23"/>
  <c r="S63" i="23"/>
  <c r="M63" i="23"/>
  <c r="O27" i="23"/>
  <c r="F38" i="23"/>
  <c r="J38" i="23"/>
  <c r="J117" i="23"/>
  <c r="S117" i="23"/>
  <c r="P27" i="23"/>
  <c r="G38" i="23"/>
  <c r="G117" i="23"/>
  <c r="P117" i="23"/>
  <c r="K38" i="23"/>
  <c r="K117" i="23"/>
  <c r="T117" i="23"/>
  <c r="S81" i="23"/>
  <c r="J92" i="23"/>
  <c r="T81" i="23"/>
  <c r="K92" i="23"/>
  <c r="O81" i="23"/>
  <c r="O86" i="23"/>
  <c r="O92" i="23"/>
  <c r="F92" i="23"/>
  <c r="P81" i="23"/>
  <c r="G92" i="23"/>
  <c r="Q33" i="23"/>
  <c r="Q29" i="23"/>
  <c r="M29" i="23"/>
  <c r="N29" i="23"/>
  <c r="T34" i="48"/>
  <c r="L17" i="49"/>
  <c r="D124" i="23"/>
  <c r="M124" i="23"/>
  <c r="G36" i="48"/>
  <c r="M118" i="23"/>
  <c r="P66" i="23"/>
  <c r="H120" i="23"/>
  <c r="Q120" i="23"/>
  <c r="S49" i="23"/>
  <c r="T49" i="23"/>
  <c r="E13" i="44"/>
  <c r="N8" i="23"/>
  <c r="E116" i="23"/>
  <c r="N116" i="23"/>
  <c r="E20" i="23"/>
  <c r="K116" i="23"/>
  <c r="T116" i="23"/>
  <c r="J26" i="44"/>
  <c r="J49" i="44"/>
  <c r="J60" i="44"/>
  <c r="I62" i="21"/>
  <c r="I57" i="21"/>
  <c r="Q86" i="23"/>
  <c r="H122" i="23"/>
  <c r="Q122" i="23"/>
  <c r="M86" i="23"/>
  <c r="D122" i="23"/>
  <c r="M122" i="23"/>
  <c r="F118" i="23"/>
  <c r="O118" i="23"/>
  <c r="T82" i="23"/>
  <c r="I118" i="23"/>
  <c r="R118" i="23"/>
  <c r="O54" i="23"/>
  <c r="F124" i="23"/>
  <c r="O124" i="23"/>
  <c r="P88" i="23"/>
  <c r="N88" i="23"/>
  <c r="E124" i="23"/>
  <c r="N124" i="23"/>
  <c r="M15" i="23"/>
  <c r="O15" i="23"/>
  <c r="F20" i="23"/>
  <c r="Q17" i="23"/>
  <c r="H20" i="23"/>
  <c r="M17" i="23"/>
  <c r="O17" i="23"/>
  <c r="M45" i="23"/>
  <c r="O45" i="23"/>
  <c r="F56" i="23"/>
  <c r="P45" i="23"/>
  <c r="R45" i="23"/>
  <c r="I56" i="23"/>
  <c r="R63" i="23"/>
  <c r="O63" i="23"/>
  <c r="T63" i="23"/>
  <c r="P63" i="23"/>
  <c r="E38" i="23"/>
  <c r="N27" i="23"/>
  <c r="E117" i="23"/>
  <c r="N117" i="23"/>
  <c r="I38" i="23"/>
  <c r="I117" i="23"/>
  <c r="R117" i="23"/>
  <c r="D38" i="23"/>
  <c r="M27" i="23"/>
  <c r="M38" i="23"/>
  <c r="D117" i="23"/>
  <c r="M117" i="23"/>
  <c r="H38" i="23"/>
  <c r="H117" i="23"/>
  <c r="Q117" i="23"/>
  <c r="Q27" i="23"/>
  <c r="M81" i="23"/>
  <c r="D92" i="23"/>
  <c r="R81" i="23"/>
  <c r="I92" i="23"/>
  <c r="P29" i="23"/>
  <c r="O29" i="23"/>
  <c r="J122" i="23"/>
  <c r="S122" i="23"/>
  <c r="E92" i="23"/>
  <c r="J94" i="37"/>
  <c r="J86" i="44"/>
  <c r="F96" i="23"/>
  <c r="D96" i="23"/>
  <c r="D114" i="23"/>
  <c r="H96" i="23"/>
  <c r="I96" i="23"/>
  <c r="I114" i="23"/>
  <c r="K96" i="23"/>
  <c r="J96" i="23"/>
  <c r="J114" i="23"/>
  <c r="G96" i="23"/>
  <c r="E96" i="23"/>
  <c r="E114" i="23"/>
  <c r="J62" i="21"/>
  <c r="E26" i="44"/>
  <c r="E94" i="37"/>
  <c r="E101" i="37"/>
  <c r="L46" i="49"/>
  <c r="N97" i="23"/>
  <c r="H115" i="23"/>
  <c r="Q115" i="23"/>
  <c r="Q97" i="23"/>
  <c r="F115" i="23"/>
  <c r="O115" i="23"/>
  <c r="D73" i="23"/>
  <c r="D127" i="23"/>
  <c r="M127" i="23"/>
  <c r="F73" i="23"/>
  <c r="G73" i="23"/>
  <c r="G127" i="23"/>
  <c r="P127" i="23"/>
  <c r="I73" i="23"/>
  <c r="E73" i="23"/>
  <c r="N73" i="23"/>
  <c r="H73" i="23"/>
  <c r="J75" i="21"/>
  <c r="K73" i="23"/>
  <c r="J73" i="23"/>
  <c r="S73" i="23"/>
  <c r="F69" i="23"/>
  <c r="G69" i="23"/>
  <c r="G123" i="23"/>
  <c r="P123" i="23"/>
  <c r="I69" i="23"/>
  <c r="D69" i="23"/>
  <c r="D123" i="23"/>
  <c r="M123" i="23"/>
  <c r="E69" i="23"/>
  <c r="E123" i="23"/>
  <c r="N123" i="23"/>
  <c r="H69" i="23"/>
  <c r="Q69" i="23"/>
  <c r="K69" i="23"/>
  <c r="T69" i="23"/>
  <c r="J69" i="23"/>
  <c r="S69" i="23"/>
  <c r="J71" i="21"/>
  <c r="F65" i="23"/>
  <c r="F119" i="23"/>
  <c r="O119" i="23"/>
  <c r="G65" i="23"/>
  <c r="G119" i="23"/>
  <c r="P119" i="23"/>
  <c r="I65" i="23"/>
  <c r="R65" i="23"/>
  <c r="D65" i="23"/>
  <c r="M65" i="23"/>
  <c r="E65" i="23"/>
  <c r="E119" i="23"/>
  <c r="N119" i="23"/>
  <c r="H65" i="23"/>
  <c r="J65" i="23"/>
  <c r="K65" i="23"/>
  <c r="K119" i="23"/>
  <c r="T119" i="23"/>
  <c r="J67" i="21"/>
  <c r="F71" i="23"/>
  <c r="O71" i="23"/>
  <c r="G71" i="23"/>
  <c r="P71" i="23"/>
  <c r="I71" i="23"/>
  <c r="I125" i="23"/>
  <c r="R125" i="23"/>
  <c r="D71" i="23"/>
  <c r="M71" i="23"/>
  <c r="E71" i="23"/>
  <c r="N71" i="23"/>
  <c r="H71" i="23"/>
  <c r="H125" i="23"/>
  <c r="Q125" i="23"/>
  <c r="J73" i="21"/>
  <c r="K71" i="23"/>
  <c r="K125" i="23"/>
  <c r="T125" i="23"/>
  <c r="J71" i="23"/>
  <c r="J125" i="23"/>
  <c r="S125" i="23"/>
  <c r="F67" i="23"/>
  <c r="O67" i="23"/>
  <c r="G67" i="23"/>
  <c r="P67" i="23"/>
  <c r="I67" i="23"/>
  <c r="R67" i="23"/>
  <c r="H67" i="23"/>
  <c r="H121" i="23"/>
  <c r="E67" i="23"/>
  <c r="E121" i="23"/>
  <c r="N121" i="23"/>
  <c r="D67" i="23"/>
  <c r="M67" i="23"/>
  <c r="K67" i="23"/>
  <c r="K121" i="23"/>
  <c r="T121" i="23"/>
  <c r="J67" i="23"/>
  <c r="J74" i="23"/>
  <c r="J121" i="23"/>
  <c r="S121" i="23"/>
  <c r="J69" i="21"/>
  <c r="G63" i="44"/>
  <c r="G89" i="44"/>
  <c r="G97" i="37"/>
  <c r="S97" i="23"/>
  <c r="J115" i="23"/>
  <c r="S115" i="23"/>
  <c r="P97" i="23"/>
  <c r="G115" i="23"/>
  <c r="P115" i="23"/>
  <c r="M97" i="23"/>
  <c r="D115" i="23"/>
  <c r="M115" i="23"/>
  <c r="I115" i="23"/>
  <c r="R115" i="23"/>
  <c r="R97" i="23"/>
  <c r="T67" i="23"/>
  <c r="N67" i="23"/>
  <c r="I121" i="23"/>
  <c r="R121" i="23"/>
  <c r="F121" i="23"/>
  <c r="O121" i="23"/>
  <c r="T71" i="23"/>
  <c r="Q71" i="23"/>
  <c r="D125" i="23"/>
  <c r="M125" i="23"/>
  <c r="G125" i="23"/>
  <c r="P125" i="23"/>
  <c r="S65" i="23"/>
  <c r="J119" i="23"/>
  <c r="S119" i="23"/>
  <c r="N65" i="23"/>
  <c r="E74" i="23"/>
  <c r="I119" i="23"/>
  <c r="R119" i="23"/>
  <c r="O65" i="23"/>
  <c r="F74" i="23"/>
  <c r="J123" i="23"/>
  <c r="S123" i="23"/>
  <c r="H123" i="23"/>
  <c r="Q123" i="23"/>
  <c r="M69" i="23"/>
  <c r="P69" i="23"/>
  <c r="J127" i="23"/>
  <c r="S127" i="23"/>
  <c r="E127" i="23"/>
  <c r="N127" i="23"/>
  <c r="P73" i="23"/>
  <c r="M73" i="23"/>
  <c r="N96" i="23"/>
  <c r="E110" i="23"/>
  <c r="S96" i="23"/>
  <c r="J110" i="23"/>
  <c r="R96" i="23"/>
  <c r="I110" i="23"/>
  <c r="M96" i="23"/>
  <c r="D110" i="23"/>
  <c r="S67" i="23"/>
  <c r="D121" i="23"/>
  <c r="M121" i="23"/>
  <c r="Q67" i="23"/>
  <c r="G121" i="23"/>
  <c r="P121" i="23"/>
  <c r="S71" i="23"/>
  <c r="E125" i="23"/>
  <c r="N125" i="23"/>
  <c r="R71" i="23"/>
  <c r="F125" i="23"/>
  <c r="O125" i="23"/>
  <c r="T65" i="23"/>
  <c r="Q65" i="23"/>
  <c r="H119" i="23"/>
  <c r="Q119" i="23"/>
  <c r="H74" i="23"/>
  <c r="D119" i="23"/>
  <c r="M119" i="23"/>
  <c r="P65" i="23"/>
  <c r="G74" i="23"/>
  <c r="K123" i="23"/>
  <c r="T123" i="23"/>
  <c r="N69" i="23"/>
  <c r="R69" i="23"/>
  <c r="I123" i="23"/>
  <c r="R123" i="23"/>
  <c r="O69" i="23"/>
  <c r="F123" i="23"/>
  <c r="O123" i="23"/>
  <c r="T73" i="23"/>
  <c r="K127" i="23"/>
  <c r="T127" i="23"/>
  <c r="Q73" i="23"/>
  <c r="Q74" i="23"/>
  <c r="H127" i="23"/>
  <c r="Q127" i="23"/>
  <c r="R73" i="23"/>
  <c r="R74" i="23"/>
  <c r="I127" i="23"/>
  <c r="R127" i="23"/>
  <c r="O73" i="23"/>
  <c r="F127" i="23"/>
  <c r="O127" i="23"/>
  <c r="P96" i="23"/>
  <c r="P110" i="23"/>
  <c r="G110" i="23"/>
  <c r="G114" i="23"/>
  <c r="T96" i="23"/>
  <c r="K110" i="23"/>
  <c r="K114" i="23"/>
  <c r="T114" i="23"/>
  <c r="Q96" i="23"/>
  <c r="Q110" i="23"/>
  <c r="H110" i="23"/>
  <c r="H114" i="23"/>
  <c r="Q114" i="23"/>
  <c r="O96" i="23"/>
  <c r="F110" i="23"/>
  <c r="F114" i="23"/>
  <c r="O114" i="23"/>
  <c r="P114" i="23"/>
  <c r="T16" i="2"/>
  <c r="H17" i="44"/>
  <c r="T16" i="48"/>
  <c r="H17" i="49"/>
  <c r="G48" i="49"/>
  <c r="K12" i="49"/>
  <c r="G25" i="49"/>
  <c r="G74" i="49"/>
  <c r="K18" i="48"/>
  <c r="J13" i="49"/>
  <c r="J29" i="49"/>
  <c r="J78" i="49"/>
  <c r="J52" i="49"/>
  <c r="N11" i="34"/>
  <c r="M11" i="34"/>
  <c r="K19" i="34"/>
  <c r="J19" i="34"/>
  <c r="L8" i="34"/>
  <c r="O8" i="34"/>
  <c r="O12" i="34"/>
  <c r="L12" i="34"/>
  <c r="L14" i="34"/>
  <c r="O14" i="34"/>
  <c r="L16" i="34"/>
  <c r="O16" i="34"/>
  <c r="F29" i="44"/>
  <c r="F52" i="44"/>
  <c r="F63" i="44"/>
  <c r="K16" i="44"/>
  <c r="Q18" i="48"/>
  <c r="Q18" i="2"/>
  <c r="N18" i="48"/>
  <c r="P18" i="48"/>
  <c r="J15" i="49"/>
  <c r="N18" i="2"/>
  <c r="P18" i="2"/>
  <c r="J15" i="44"/>
  <c r="I24" i="49"/>
  <c r="I73" i="49"/>
  <c r="I47" i="49"/>
  <c r="K11" i="49"/>
  <c r="G13" i="49"/>
  <c r="K19" i="48"/>
  <c r="K10" i="49"/>
  <c r="M10" i="49"/>
  <c r="H46" i="49"/>
  <c r="L7" i="34"/>
  <c r="O7" i="34"/>
  <c r="L9" i="34"/>
  <c r="O9" i="34"/>
  <c r="L13" i="34"/>
  <c r="O13" i="34"/>
  <c r="L15" i="34"/>
  <c r="O15" i="34"/>
  <c r="L17" i="34"/>
  <c r="O17" i="34"/>
  <c r="H49" i="44"/>
  <c r="H60" i="44"/>
  <c r="H26" i="44"/>
  <c r="F24" i="44"/>
  <c r="K11" i="44"/>
  <c r="F47" i="44"/>
  <c r="N20" i="23"/>
  <c r="R92" i="23"/>
  <c r="P38" i="23"/>
  <c r="Q92" i="23"/>
  <c r="S56" i="23"/>
  <c r="T74" i="23"/>
  <c r="S74" i="23"/>
  <c r="M110" i="23"/>
  <c r="R110" i="23"/>
  <c r="S110" i="23"/>
  <c r="N110" i="23"/>
  <c r="I74" i="23"/>
  <c r="O74" i="23"/>
  <c r="Q38" i="23"/>
  <c r="N38" i="23"/>
  <c r="O20" i="23"/>
  <c r="K13" i="44"/>
  <c r="T56" i="23"/>
  <c r="R20" i="23"/>
  <c r="N92" i="23"/>
  <c r="I89" i="44"/>
  <c r="K19" i="2"/>
  <c r="K46" i="49"/>
  <c r="M46" i="49"/>
  <c r="F122" i="23"/>
  <c r="O122" i="23"/>
  <c r="K118" i="23"/>
  <c r="T118" i="23"/>
  <c r="G124" i="23"/>
  <c r="P124" i="23"/>
  <c r="K56" i="23"/>
  <c r="N56" i="23"/>
  <c r="F117" i="23"/>
  <c r="O117" i="23"/>
  <c r="Q20" i="23"/>
  <c r="O38" i="23"/>
  <c r="S20" i="23"/>
  <c r="O110" i="23"/>
  <c r="K20" i="23"/>
  <c r="F16" i="48"/>
  <c r="H7" i="49"/>
  <c r="H6" i="49"/>
  <c r="U74" i="23"/>
  <c r="F16" i="2"/>
  <c r="H7" i="44"/>
  <c r="N114" i="23"/>
  <c r="N128" i="23"/>
  <c r="E128" i="23"/>
  <c r="S114" i="23"/>
  <c r="M114" i="23"/>
  <c r="M13" i="48"/>
  <c r="M13" i="2"/>
  <c r="U56" i="23"/>
  <c r="F15" i="2"/>
  <c r="G7" i="44"/>
  <c r="F15" i="48"/>
  <c r="G7" i="49"/>
  <c r="M74" i="23"/>
  <c r="J51" i="44"/>
  <c r="J62" i="44"/>
  <c r="J28" i="44"/>
  <c r="T18" i="2"/>
  <c r="J17" i="44"/>
  <c r="T18" i="48"/>
  <c r="J17" i="49"/>
  <c r="Q121" i="23"/>
  <c r="Q128" i="23"/>
  <c r="H128" i="23"/>
  <c r="R114" i="23"/>
  <c r="R128" i="23"/>
  <c r="I128" i="23"/>
  <c r="M14" i="2"/>
  <c r="F14" i="44"/>
  <c r="M14" i="48"/>
  <c r="F14" i="49"/>
  <c r="M18" i="2"/>
  <c r="J14" i="44"/>
  <c r="M18" i="48"/>
  <c r="J14" i="49"/>
  <c r="P74" i="23"/>
  <c r="N74" i="23"/>
  <c r="P49" i="23"/>
  <c r="G56" i="23"/>
  <c r="M48" i="23"/>
  <c r="M56" i="23"/>
  <c r="D56" i="23"/>
  <c r="D116" i="23"/>
  <c r="M116" i="23"/>
  <c r="D20" i="23"/>
  <c r="S92" i="23"/>
  <c r="M92" i="23"/>
  <c r="T92" i="23"/>
  <c r="P56" i="23"/>
  <c r="T17" i="2"/>
  <c r="I17" i="44"/>
  <c r="T17" i="48"/>
  <c r="I17" i="49"/>
  <c r="D74" i="23"/>
  <c r="K74" i="23"/>
  <c r="E86" i="44"/>
  <c r="T97" i="23"/>
  <c r="T110" i="23"/>
  <c r="E49" i="44"/>
  <c r="O56" i="23"/>
  <c r="J120" i="23"/>
  <c r="S120" i="23"/>
  <c r="M10" i="23"/>
  <c r="M8" i="23"/>
  <c r="D120" i="23"/>
  <c r="M120" i="23"/>
  <c r="P92" i="23"/>
  <c r="R56" i="23"/>
  <c r="Q56" i="23"/>
  <c r="H91" i="37"/>
  <c r="H100" i="37"/>
  <c r="I25" i="49"/>
  <c r="I48" i="49"/>
  <c r="E29" i="44"/>
  <c r="E52" i="44"/>
  <c r="J23" i="44"/>
  <c r="J46" i="44"/>
  <c r="I48" i="44"/>
  <c r="I59" i="44"/>
  <c r="I25" i="44"/>
  <c r="G49" i="44"/>
  <c r="G60" i="44"/>
  <c r="G26" i="44"/>
  <c r="G25" i="44"/>
  <c r="K12" i="44"/>
  <c r="M12" i="44"/>
  <c r="G48" i="44"/>
  <c r="I26" i="49"/>
  <c r="I75" i="49"/>
  <c r="I49" i="49"/>
  <c r="J48" i="49"/>
  <c r="J25" i="49"/>
  <c r="H47" i="49"/>
  <c r="H24" i="49"/>
  <c r="J25" i="44"/>
  <c r="J48" i="44"/>
  <c r="J59" i="44"/>
  <c r="I49" i="44"/>
  <c r="I60" i="44"/>
  <c r="I26" i="44"/>
  <c r="I23" i="44"/>
  <c r="I46" i="44"/>
  <c r="F126" i="23"/>
  <c r="H92" i="23"/>
  <c r="E56" i="23"/>
  <c r="K122" i="23"/>
  <c r="T122" i="23"/>
  <c r="K120" i="23"/>
  <c r="T120" i="23"/>
  <c r="J118" i="23"/>
  <c r="S118" i="23"/>
  <c r="G118" i="23"/>
  <c r="J84" i="44"/>
  <c r="E84" i="44"/>
  <c r="I84" i="44"/>
  <c r="J126" i="23"/>
  <c r="S126" i="23"/>
  <c r="J97" i="37"/>
  <c r="H19" i="48"/>
  <c r="T13" i="48"/>
  <c r="E17" i="49"/>
  <c r="T13" i="2"/>
  <c r="E17" i="44"/>
  <c r="M16" i="2"/>
  <c r="H14" i="44"/>
  <c r="M16" i="48"/>
  <c r="H14" i="49"/>
  <c r="N14" i="2"/>
  <c r="P14" i="2"/>
  <c r="F15" i="44"/>
  <c r="N14" i="48"/>
  <c r="P14" i="48"/>
  <c r="F15" i="49"/>
  <c r="H94" i="37"/>
  <c r="H101" i="37"/>
  <c r="H86" i="44"/>
  <c r="M17" i="34"/>
  <c r="N17" i="34"/>
  <c r="N15" i="34"/>
  <c r="M15" i="34"/>
  <c r="N13" i="34"/>
  <c r="M13" i="34"/>
  <c r="M9" i="34"/>
  <c r="N9" i="34"/>
  <c r="M7" i="34"/>
  <c r="N7" i="34"/>
  <c r="H73" i="49"/>
  <c r="H27" i="49"/>
  <c r="H76" i="49"/>
  <c r="N16" i="48"/>
  <c r="P16" i="48"/>
  <c r="H15" i="49"/>
  <c r="H28" i="49"/>
  <c r="H77" i="49"/>
  <c r="H30" i="49"/>
  <c r="H79" i="49"/>
  <c r="H80" i="49"/>
  <c r="K23" i="49"/>
  <c r="M23" i="49"/>
  <c r="N16" i="34"/>
  <c r="M16" i="34"/>
  <c r="M14" i="34"/>
  <c r="N14" i="34"/>
  <c r="J12" i="34"/>
  <c r="K12" i="34"/>
  <c r="N8" i="34"/>
  <c r="M8" i="34"/>
  <c r="J26" i="49"/>
  <c r="J75" i="49"/>
  <c r="J49" i="49"/>
  <c r="H30" i="44"/>
  <c r="H53" i="44"/>
  <c r="H64" i="44"/>
  <c r="T128" i="23"/>
  <c r="Q13" i="48"/>
  <c r="Q13" i="2"/>
  <c r="Q14" i="48"/>
  <c r="Q14" i="2"/>
  <c r="Q17" i="2"/>
  <c r="Q17" i="48"/>
  <c r="K47" i="44"/>
  <c r="F58" i="44"/>
  <c r="K58" i="44"/>
  <c r="F92" i="37"/>
  <c r="F100" i="37"/>
  <c r="F84" i="44"/>
  <c r="K24" i="44"/>
  <c r="J17" i="34"/>
  <c r="K17" i="34"/>
  <c r="J15" i="34"/>
  <c r="K15" i="34"/>
  <c r="J13" i="34"/>
  <c r="K13" i="34"/>
  <c r="K9" i="34"/>
  <c r="J9" i="34"/>
  <c r="K7" i="34"/>
  <c r="J7" i="34"/>
  <c r="G26" i="49"/>
  <c r="G75" i="49"/>
  <c r="K75" i="49"/>
  <c r="G49" i="49"/>
  <c r="K13" i="49"/>
  <c r="F89" i="44"/>
  <c r="F97" i="37"/>
  <c r="K16" i="34"/>
  <c r="J16" i="34"/>
  <c r="K14" i="34"/>
  <c r="J14" i="34"/>
  <c r="N12" i="34"/>
  <c r="M12" i="34"/>
  <c r="K8" i="34"/>
  <c r="J8" i="34"/>
  <c r="H53" i="49"/>
  <c r="K49" i="49"/>
  <c r="F19" i="48"/>
  <c r="F36" i="48"/>
  <c r="U128" i="23"/>
  <c r="F19" i="2"/>
  <c r="I57" i="44"/>
  <c r="K46" i="44"/>
  <c r="I94" i="37"/>
  <c r="I86" i="44"/>
  <c r="K24" i="49"/>
  <c r="J74" i="49"/>
  <c r="G59" i="44"/>
  <c r="K48" i="44"/>
  <c r="G85" i="44"/>
  <c r="G93" i="37"/>
  <c r="K25" i="44"/>
  <c r="J91" i="37"/>
  <c r="J100" i="37"/>
  <c r="J83" i="44"/>
  <c r="E97" i="37"/>
  <c r="E89" i="44"/>
  <c r="K89" i="44"/>
  <c r="K29" i="44"/>
  <c r="I74" i="49"/>
  <c r="K25" i="49"/>
  <c r="Q15" i="2"/>
  <c r="Q15" i="48"/>
  <c r="M15" i="48"/>
  <c r="G14" i="49"/>
  <c r="M15" i="2"/>
  <c r="G14" i="44"/>
  <c r="F18" i="2"/>
  <c r="J7" i="44"/>
  <c r="F18" i="48"/>
  <c r="J7" i="49"/>
  <c r="J6" i="49"/>
  <c r="U110" i="23"/>
  <c r="I30" i="44"/>
  <c r="I53" i="44"/>
  <c r="I64" i="44"/>
  <c r="N15" i="2"/>
  <c r="P15" i="2"/>
  <c r="N15" i="48"/>
  <c r="P15" i="48"/>
  <c r="G15" i="49"/>
  <c r="J27" i="44"/>
  <c r="J18" i="44"/>
  <c r="J50" i="44"/>
  <c r="J61" i="44"/>
  <c r="F27" i="44"/>
  <c r="F50" i="44"/>
  <c r="J30" i="44"/>
  <c r="J53" i="44"/>
  <c r="J64" i="44"/>
  <c r="G6" i="44"/>
  <c r="G76" i="37"/>
  <c r="G77" i="37"/>
  <c r="E14" i="44"/>
  <c r="K128" i="23"/>
  <c r="K26" i="49"/>
  <c r="D128" i="23"/>
  <c r="J128" i="23"/>
  <c r="K84" i="44"/>
  <c r="P118" i="23"/>
  <c r="O126" i="23"/>
  <c r="O128" i="23"/>
  <c r="F128" i="23"/>
  <c r="I83" i="44"/>
  <c r="I91" i="37"/>
  <c r="I100" i="37"/>
  <c r="J85" i="44"/>
  <c r="J93" i="37"/>
  <c r="J101" i="37"/>
  <c r="G86" i="44"/>
  <c r="G94" i="37"/>
  <c r="K26" i="44"/>
  <c r="I93" i="37"/>
  <c r="I101" i="37"/>
  <c r="I85" i="44"/>
  <c r="J57" i="44"/>
  <c r="J65" i="44"/>
  <c r="J54" i="44"/>
  <c r="E63" i="44"/>
  <c r="K63" i="44"/>
  <c r="K52" i="44"/>
  <c r="T15" i="2"/>
  <c r="G17" i="44"/>
  <c r="T15" i="48"/>
  <c r="N17" i="48"/>
  <c r="P17" i="48"/>
  <c r="I15" i="49"/>
  <c r="N17" i="2"/>
  <c r="P17" i="2"/>
  <c r="I15" i="44"/>
  <c r="K49" i="44"/>
  <c r="E60" i="44"/>
  <c r="I30" i="49"/>
  <c r="I79" i="49"/>
  <c r="I53" i="49"/>
  <c r="U92" i="23"/>
  <c r="F17" i="2"/>
  <c r="I7" i="44"/>
  <c r="F17" i="48"/>
  <c r="I7" i="49"/>
  <c r="I6" i="49"/>
  <c r="N16" i="2"/>
  <c r="P16" i="2"/>
  <c r="H15" i="44"/>
  <c r="J27" i="49"/>
  <c r="J76" i="49"/>
  <c r="J50" i="49"/>
  <c r="F50" i="49"/>
  <c r="F27" i="49"/>
  <c r="J53" i="49"/>
  <c r="J30" i="49"/>
  <c r="J79" i="49"/>
  <c r="J96" i="37"/>
  <c r="J88" i="44"/>
  <c r="G6" i="49"/>
  <c r="E14" i="49"/>
  <c r="H6" i="44"/>
  <c r="H76" i="37"/>
  <c r="H77" i="37"/>
  <c r="K23" i="44"/>
  <c r="K47" i="49"/>
  <c r="M20" i="23"/>
  <c r="K86" i="44"/>
  <c r="K48" i="49"/>
  <c r="M128" i="23"/>
  <c r="V128" i="23"/>
  <c r="S128" i="23"/>
  <c r="W128" i="23"/>
  <c r="Z128" i="23"/>
  <c r="AA128" i="23"/>
  <c r="K92" i="37"/>
  <c r="H90" i="44"/>
  <c r="H98" i="37"/>
  <c r="H50" i="44"/>
  <c r="H61" i="44"/>
  <c r="H27" i="44"/>
  <c r="E30" i="49"/>
  <c r="E79" i="49"/>
  <c r="E53" i="49"/>
  <c r="F51" i="49"/>
  <c r="F28" i="49"/>
  <c r="F77" i="49"/>
  <c r="H50" i="49"/>
  <c r="E30" i="44"/>
  <c r="E53" i="44"/>
  <c r="E64" i="44"/>
  <c r="J31" i="44"/>
  <c r="J86" i="37"/>
  <c r="J70" i="44"/>
  <c r="J97" i="44"/>
  <c r="J117" i="37"/>
  <c r="E27" i="49"/>
  <c r="E50" i="49"/>
  <c r="H51" i="49"/>
  <c r="H54" i="49"/>
  <c r="H58" i="49"/>
  <c r="H18" i="49"/>
  <c r="K60" i="44"/>
  <c r="G17" i="49"/>
  <c r="J69" i="44"/>
  <c r="J114" i="37"/>
  <c r="K94" i="37"/>
  <c r="J98" i="37"/>
  <c r="J90" i="44"/>
  <c r="F87" i="44"/>
  <c r="F95" i="37"/>
  <c r="J80" i="37"/>
  <c r="J33" i="44"/>
  <c r="J87" i="37"/>
  <c r="G50" i="44"/>
  <c r="G27" i="44"/>
  <c r="K74" i="49"/>
  <c r="K93" i="37"/>
  <c r="K101" i="37"/>
  <c r="K85" i="44"/>
  <c r="K73" i="49"/>
  <c r="K91" i="37"/>
  <c r="K100" i="37"/>
  <c r="F76" i="49"/>
  <c r="I6" i="44"/>
  <c r="I76" i="37"/>
  <c r="I77" i="37"/>
  <c r="G53" i="44"/>
  <c r="G64" i="44"/>
  <c r="G30" i="44"/>
  <c r="K83" i="44"/>
  <c r="E27" i="44"/>
  <c r="E50" i="44"/>
  <c r="F61" i="44"/>
  <c r="J87" i="44"/>
  <c r="J91" i="44"/>
  <c r="J95" i="37"/>
  <c r="J102" i="37"/>
  <c r="J103" i="37"/>
  <c r="G15" i="44"/>
  <c r="I90" i="44"/>
  <c r="I98" i="37"/>
  <c r="J6" i="44"/>
  <c r="J76" i="37"/>
  <c r="J77" i="37"/>
  <c r="G50" i="49"/>
  <c r="G27" i="49"/>
  <c r="K97" i="37"/>
  <c r="K59" i="44"/>
  <c r="K57" i="44"/>
  <c r="G101" i="37"/>
  <c r="E98" i="37"/>
  <c r="E90" i="44"/>
  <c r="H95" i="37"/>
  <c r="H87" i="44"/>
  <c r="J99" i="44"/>
  <c r="J120" i="37"/>
  <c r="G76" i="49"/>
  <c r="G51" i="44"/>
  <c r="G28" i="44"/>
  <c r="E61" i="44"/>
  <c r="E95" i="37"/>
  <c r="E87" i="44"/>
  <c r="G61" i="44"/>
  <c r="G54" i="44"/>
  <c r="H31" i="49"/>
  <c r="H33" i="49"/>
  <c r="E76" i="49"/>
  <c r="G90" i="44"/>
  <c r="G98" i="37"/>
  <c r="G95" i="37"/>
  <c r="G87" i="44"/>
  <c r="G31" i="44"/>
  <c r="J96" i="44"/>
  <c r="J93" i="44"/>
  <c r="J101" i="44"/>
  <c r="J122" i="37"/>
  <c r="J94" i="44"/>
  <c r="G30" i="49"/>
  <c r="G53" i="49"/>
  <c r="G18" i="44"/>
  <c r="G79" i="49"/>
  <c r="G70" i="44"/>
  <c r="G97" i="44"/>
  <c r="G117" i="37"/>
  <c r="G86" i="37"/>
  <c r="H59" i="49"/>
  <c r="H86" i="49"/>
  <c r="H82" i="37"/>
  <c r="G69" i="44"/>
  <c r="G114" i="37"/>
  <c r="G62" i="44"/>
  <c r="G80" i="37"/>
  <c r="G33" i="44"/>
  <c r="G87" i="37"/>
  <c r="J116" i="37"/>
  <c r="J125" i="37"/>
  <c r="J102" i="44"/>
  <c r="J123" i="37"/>
  <c r="G88" i="44"/>
  <c r="G96" i="37"/>
  <c r="G102" i="37"/>
  <c r="G103" i="37"/>
  <c r="G65" i="44"/>
  <c r="G91" i="44"/>
  <c r="G99" i="44"/>
  <c r="G120" i="37"/>
  <c r="G96" i="44"/>
  <c r="G93" i="44"/>
  <c r="G101" i="44"/>
  <c r="G122" i="37"/>
  <c r="G94" i="44"/>
  <c r="G126" i="37"/>
  <c r="G102" i="44"/>
  <c r="G123" i="37"/>
  <c r="G116" i="37"/>
  <c r="G125" i="37"/>
  <c r="L27" i="49"/>
  <c r="L50" i="49"/>
  <c r="L134" i="37"/>
  <c r="M134" i="37"/>
  <c r="L12" i="49"/>
  <c r="M12" i="49"/>
  <c r="L36" i="48"/>
  <c r="L24" i="44"/>
  <c r="L84" i="44"/>
  <c r="M84" i="44"/>
  <c r="M11" i="44"/>
  <c r="L47" i="44"/>
  <c r="Q21" i="2"/>
  <c r="S21" i="2"/>
  <c r="S34" i="2"/>
  <c r="L16" i="44"/>
  <c r="L30" i="49"/>
  <c r="L53" i="49"/>
  <c r="L46" i="44"/>
  <c r="M10" i="44"/>
  <c r="L23" i="44"/>
  <c r="L93" i="37"/>
  <c r="M25" i="44"/>
  <c r="M93" i="37"/>
  <c r="L85" i="44"/>
  <c r="M85" i="44"/>
  <c r="L14" i="44"/>
  <c r="S36" i="2"/>
  <c r="L6" i="49"/>
  <c r="L53" i="44"/>
  <c r="L30" i="44"/>
  <c r="L25" i="49"/>
  <c r="L48" i="44"/>
  <c r="L76" i="49"/>
  <c r="L48" i="49"/>
  <c r="M24" i="44"/>
  <c r="M92" i="37"/>
  <c r="L58" i="44"/>
  <c r="M58" i="44"/>
  <c r="M47" i="44"/>
  <c r="L92" i="37"/>
  <c r="L74" i="49"/>
  <c r="M25" i="49"/>
  <c r="L98" i="37"/>
  <c r="L90" i="44"/>
  <c r="M46" i="44"/>
  <c r="L57" i="44"/>
  <c r="M48" i="44"/>
  <c r="L59" i="44"/>
  <c r="M59" i="44"/>
  <c r="M48" i="49"/>
  <c r="L64" i="44"/>
  <c r="L29" i="44"/>
  <c r="L52" i="44"/>
  <c r="M16" i="44"/>
  <c r="L27" i="44"/>
  <c r="L50" i="44"/>
  <c r="L83" i="44"/>
  <c r="M23" i="44"/>
  <c r="M91" i="37"/>
  <c r="M100" i="37"/>
  <c r="L91" i="37"/>
  <c r="L100" i="37"/>
  <c r="L79" i="49"/>
  <c r="L87" i="44"/>
  <c r="L95" i="37"/>
  <c r="L97" i="37"/>
  <c r="M29" i="44"/>
  <c r="M97" i="37"/>
  <c r="L89" i="44"/>
  <c r="M89" i="44"/>
  <c r="M83" i="44"/>
  <c r="L61" i="44"/>
  <c r="L63" i="44"/>
  <c r="M63" i="44"/>
  <c r="M52" i="44"/>
  <c r="M57" i="44"/>
  <c r="M74" i="49"/>
  <c r="H85" i="49"/>
  <c r="H91" i="49"/>
  <c r="H83" i="49"/>
  <c r="G28" i="49"/>
  <c r="G51" i="49"/>
  <c r="F28" i="44"/>
  <c r="F51" i="44"/>
  <c r="I51" i="44"/>
  <c r="I28" i="44"/>
  <c r="I28" i="49"/>
  <c r="I51" i="49"/>
  <c r="J18" i="49"/>
  <c r="J28" i="49"/>
  <c r="J51" i="49"/>
  <c r="J54" i="49"/>
  <c r="J58" i="49"/>
  <c r="E52" i="49"/>
  <c r="E29" i="49"/>
  <c r="J126" i="37"/>
  <c r="H51" i="44"/>
  <c r="H18" i="44"/>
  <c r="H28" i="44"/>
  <c r="G16" i="49"/>
  <c r="S19" i="48"/>
  <c r="F29" i="49"/>
  <c r="F52" i="49"/>
  <c r="H88" i="44"/>
  <c r="H91" i="44"/>
  <c r="H31" i="44"/>
  <c r="H33" i="44"/>
  <c r="H87" i="37"/>
  <c r="H96" i="37"/>
  <c r="H102" i="37"/>
  <c r="H103" i="37"/>
  <c r="H62" i="44"/>
  <c r="H65" i="44"/>
  <c r="H54" i="44"/>
  <c r="J85" i="49"/>
  <c r="J91" i="49"/>
  <c r="J83" i="49"/>
  <c r="I96" i="37"/>
  <c r="I88" i="44"/>
  <c r="F62" i="44"/>
  <c r="F78" i="49"/>
  <c r="G29" i="49"/>
  <c r="G78" i="49"/>
  <c r="G52" i="49"/>
  <c r="K52" i="49"/>
  <c r="G54" i="49"/>
  <c r="G58" i="49"/>
  <c r="H80" i="37"/>
  <c r="L15" i="49"/>
  <c r="E78" i="49"/>
  <c r="J77" i="49"/>
  <c r="J80" i="49"/>
  <c r="J82" i="49"/>
  <c r="J90" i="49"/>
  <c r="J88" i="49"/>
  <c r="J31" i="49"/>
  <c r="J33" i="49"/>
  <c r="I77" i="49"/>
  <c r="I62" i="44"/>
  <c r="F88" i="44"/>
  <c r="F96" i="37"/>
  <c r="G31" i="49"/>
  <c r="G77" i="49"/>
  <c r="K16" i="49"/>
  <c r="G18" i="49"/>
  <c r="G33" i="49"/>
  <c r="G85" i="49"/>
  <c r="G91" i="49"/>
  <c r="G83" i="49"/>
  <c r="L28" i="49"/>
  <c r="L51" i="49"/>
  <c r="G80" i="49"/>
  <c r="G88" i="49"/>
  <c r="H114" i="37"/>
  <c r="H69" i="44"/>
  <c r="H99" i="44"/>
  <c r="H120" i="37"/>
  <c r="K29" i="49"/>
  <c r="G59" i="49"/>
  <c r="G86" i="49"/>
  <c r="G82" i="37"/>
  <c r="G83" i="37"/>
  <c r="J59" i="49"/>
  <c r="J86" i="49"/>
  <c r="J82" i="37"/>
  <c r="J83" i="37"/>
  <c r="K78" i="49"/>
  <c r="H70" i="44"/>
  <c r="H97" i="44"/>
  <c r="H117" i="37"/>
  <c r="H86" i="37"/>
  <c r="H96" i="44"/>
  <c r="H93" i="44"/>
  <c r="H101" i="44"/>
  <c r="H122" i="37"/>
  <c r="H94" i="44"/>
  <c r="L77" i="49"/>
  <c r="G82" i="49"/>
  <c r="G90" i="49"/>
  <c r="H83" i="37"/>
  <c r="H126" i="37"/>
  <c r="H102" i="44"/>
  <c r="H123" i="37"/>
  <c r="H116" i="37"/>
  <c r="H125" i="37"/>
  <c r="H88" i="49"/>
  <c r="H82" i="49"/>
  <c r="H90" i="49"/>
  <c r="Q16" i="48"/>
  <c r="Q16" i="2"/>
  <c r="M17" i="2"/>
  <c r="M17" i="48"/>
  <c r="P126" i="23"/>
  <c r="P128" i="23"/>
  <c r="G128" i="23"/>
  <c r="F14" i="48"/>
  <c r="F7" i="49"/>
  <c r="F6" i="49"/>
  <c r="F14" i="2"/>
  <c r="F7" i="44"/>
  <c r="U38" i="23"/>
  <c r="T14" i="48"/>
  <c r="T14" i="2"/>
  <c r="N13" i="2"/>
  <c r="P13" i="2"/>
  <c r="N13" i="48"/>
  <c r="P13" i="48"/>
  <c r="F13" i="48"/>
  <c r="E7" i="49"/>
  <c r="U20" i="23"/>
  <c r="F13" i="2"/>
  <c r="E7" i="44"/>
  <c r="L16" i="49"/>
  <c r="S36" i="48"/>
  <c r="L11" i="49"/>
  <c r="H36" i="48"/>
  <c r="L28" i="44"/>
  <c r="L51" i="44"/>
  <c r="L62" i="44"/>
  <c r="I36" i="2"/>
  <c r="M78" i="37"/>
  <c r="K78" i="37"/>
  <c r="F36" i="2"/>
  <c r="L7" i="44"/>
  <c r="K36" i="48"/>
  <c r="L13" i="49"/>
  <c r="K36" i="2"/>
  <c r="L13" i="44"/>
  <c r="L26" i="44"/>
  <c r="M13" i="44"/>
  <c r="L49" i="44"/>
  <c r="L18" i="44"/>
  <c r="L49" i="49"/>
  <c r="M49" i="49"/>
  <c r="M13" i="49"/>
  <c r="L26" i="49"/>
  <c r="L6" i="44"/>
  <c r="L76" i="37"/>
  <c r="L77" i="37"/>
  <c r="L96" i="37"/>
  <c r="L102" i="37"/>
  <c r="L88" i="44"/>
  <c r="L47" i="49"/>
  <c r="M11" i="49"/>
  <c r="L24" i="49"/>
  <c r="L18" i="49"/>
  <c r="L29" i="49"/>
  <c r="L52" i="49"/>
  <c r="M52" i="49"/>
  <c r="M16" i="49"/>
  <c r="E77" i="37"/>
  <c r="E6" i="44"/>
  <c r="K7" i="44"/>
  <c r="E6" i="49"/>
  <c r="K6" i="49"/>
  <c r="M6" i="49"/>
  <c r="K7" i="49"/>
  <c r="M7" i="49"/>
  <c r="E15" i="49"/>
  <c r="P19" i="48"/>
  <c r="P36" i="48"/>
  <c r="E15" i="44"/>
  <c r="P19" i="2"/>
  <c r="P36" i="2"/>
  <c r="F17" i="44"/>
  <c r="T19" i="2"/>
  <c r="T36" i="2"/>
  <c r="F17" i="49"/>
  <c r="T19" i="48"/>
  <c r="T36" i="48"/>
  <c r="F6" i="44"/>
  <c r="F76" i="37"/>
  <c r="F77" i="37"/>
  <c r="Y128" i="23"/>
  <c r="X128" i="23"/>
  <c r="I14" i="49"/>
  <c r="M19" i="48"/>
  <c r="M36" i="48"/>
  <c r="I14" i="44"/>
  <c r="M19" i="2"/>
  <c r="M36" i="2"/>
  <c r="I27" i="44"/>
  <c r="I50" i="44"/>
  <c r="K14" i="44"/>
  <c r="M14" i="44"/>
  <c r="I18" i="44"/>
  <c r="I27" i="49"/>
  <c r="I50" i="49"/>
  <c r="K14" i="49"/>
  <c r="M14" i="49"/>
  <c r="I18" i="49"/>
  <c r="F30" i="49"/>
  <c r="F53" i="49"/>
  <c r="K17" i="49"/>
  <c r="M17" i="49"/>
  <c r="F18" i="49"/>
  <c r="F30" i="44"/>
  <c r="F53" i="44"/>
  <c r="K17" i="44"/>
  <c r="M17" i="44"/>
  <c r="F18" i="44"/>
  <c r="E51" i="44"/>
  <c r="E28" i="44"/>
  <c r="E18" i="44"/>
  <c r="K15" i="44"/>
  <c r="M15" i="44"/>
  <c r="E51" i="49"/>
  <c r="E28" i="49"/>
  <c r="K15" i="49"/>
  <c r="M15" i="49"/>
  <c r="E18" i="49"/>
  <c r="K77" i="37"/>
  <c r="M7" i="44"/>
  <c r="M77" i="37"/>
  <c r="E76" i="37"/>
  <c r="K6" i="44"/>
  <c r="L78" i="49"/>
  <c r="M78" i="49"/>
  <c r="M29" i="49"/>
  <c r="L73" i="49"/>
  <c r="M24" i="49"/>
  <c r="L31" i="49"/>
  <c r="M47" i="49"/>
  <c r="L54" i="49"/>
  <c r="L58" i="49"/>
  <c r="L75" i="49"/>
  <c r="M75" i="49"/>
  <c r="M26" i="49"/>
  <c r="L80" i="37"/>
  <c r="L60" i="44"/>
  <c r="M49" i="44"/>
  <c r="L54" i="44"/>
  <c r="L94" i="37"/>
  <c r="L101" i="37"/>
  <c r="L103" i="37"/>
  <c r="M26" i="44"/>
  <c r="M94" i="37"/>
  <c r="M101" i="37"/>
  <c r="L86" i="44"/>
  <c r="L31" i="44"/>
  <c r="L33" i="49"/>
  <c r="L70" i="44"/>
  <c r="L97" i="44"/>
  <c r="L117" i="37"/>
  <c r="L86" i="37"/>
  <c r="M86" i="44"/>
  <c r="L91" i="44"/>
  <c r="L69" i="44"/>
  <c r="L114" i="37"/>
  <c r="F133" i="37"/>
  <c r="M60" i="44"/>
  <c r="L65" i="44"/>
  <c r="L85" i="49"/>
  <c r="L91" i="49"/>
  <c r="L83" i="49"/>
  <c r="L59" i="49"/>
  <c r="L86" i="49"/>
  <c r="L82" i="37"/>
  <c r="M73" i="49"/>
  <c r="L80" i="49"/>
  <c r="L88" i="49"/>
  <c r="K76" i="37"/>
  <c r="M6" i="44"/>
  <c r="M76" i="37"/>
  <c r="K18" i="49"/>
  <c r="E77" i="49"/>
  <c r="E31" i="49"/>
  <c r="K28" i="49"/>
  <c r="M28" i="49"/>
  <c r="E54" i="49"/>
  <c r="E58" i="49"/>
  <c r="K51" i="49"/>
  <c r="M51" i="49"/>
  <c r="E80" i="37"/>
  <c r="K18" i="44"/>
  <c r="E88" i="44"/>
  <c r="E96" i="37"/>
  <c r="E102" i="37"/>
  <c r="E103" i="37"/>
  <c r="E31" i="44"/>
  <c r="K28" i="44"/>
  <c r="E62" i="44"/>
  <c r="E54" i="44"/>
  <c r="K51" i="44"/>
  <c r="M51" i="44"/>
  <c r="F80" i="37"/>
  <c r="F64" i="44"/>
  <c r="K53" i="44"/>
  <c r="M53" i="44"/>
  <c r="F54" i="44"/>
  <c r="F90" i="44"/>
  <c r="F98" i="37"/>
  <c r="F102" i="37"/>
  <c r="F103" i="37"/>
  <c r="K30" i="44"/>
  <c r="F31" i="44"/>
  <c r="K53" i="49"/>
  <c r="M53" i="49"/>
  <c r="F54" i="49"/>
  <c r="F58" i="49"/>
  <c r="F79" i="49"/>
  <c r="K30" i="49"/>
  <c r="M30" i="49"/>
  <c r="F31" i="49"/>
  <c r="K50" i="49"/>
  <c r="I54" i="49"/>
  <c r="I58" i="49"/>
  <c r="I76" i="49"/>
  <c r="K27" i="49"/>
  <c r="M27" i="49"/>
  <c r="I31" i="49"/>
  <c r="I80" i="37"/>
  <c r="I61" i="44"/>
  <c r="K50" i="44"/>
  <c r="I54" i="44"/>
  <c r="I87" i="44"/>
  <c r="I95" i="37"/>
  <c r="I102" i="37"/>
  <c r="I103" i="37"/>
  <c r="K27" i="44"/>
  <c r="I31" i="44"/>
  <c r="L33" i="44"/>
  <c r="L87" i="37"/>
  <c r="F33" i="49"/>
  <c r="I33" i="49"/>
  <c r="I86" i="37"/>
  <c r="I70" i="44"/>
  <c r="I97" i="44"/>
  <c r="I117" i="37"/>
  <c r="K95" i="37"/>
  <c r="M27" i="44"/>
  <c r="M95" i="37"/>
  <c r="K87" i="44"/>
  <c r="M87" i="44"/>
  <c r="I91" i="44"/>
  <c r="I69" i="44"/>
  <c r="I114" i="37"/>
  <c r="M50" i="44"/>
  <c r="M54" i="44"/>
  <c r="K54" i="44"/>
  <c r="K61" i="44"/>
  <c r="I65" i="44"/>
  <c r="I59" i="49"/>
  <c r="I86" i="49"/>
  <c r="I82" i="37"/>
  <c r="K76" i="49"/>
  <c r="M76" i="49"/>
  <c r="I80" i="49"/>
  <c r="I88" i="49"/>
  <c r="I85" i="49"/>
  <c r="I91" i="49"/>
  <c r="I83" i="49"/>
  <c r="I82" i="49"/>
  <c r="I90" i="49"/>
  <c r="M50" i="49"/>
  <c r="M54" i="49"/>
  <c r="M56" i="49"/>
  <c r="K54" i="49"/>
  <c r="K56" i="49"/>
  <c r="F59" i="49"/>
  <c r="F86" i="49"/>
  <c r="F82" i="37"/>
  <c r="K79" i="49"/>
  <c r="M79" i="49"/>
  <c r="F80" i="49"/>
  <c r="F88" i="49"/>
  <c r="F82" i="49"/>
  <c r="F90" i="49"/>
  <c r="F85" i="49"/>
  <c r="F91" i="49"/>
  <c r="F83" i="49"/>
  <c r="F70" i="44"/>
  <c r="F97" i="44"/>
  <c r="F117" i="37"/>
  <c r="F86" i="37"/>
  <c r="K98" i="37"/>
  <c r="M30" i="44"/>
  <c r="M98" i="37"/>
  <c r="K90" i="44"/>
  <c r="M90" i="44"/>
  <c r="F91" i="44"/>
  <c r="F114" i="37"/>
  <c r="F69" i="44"/>
  <c r="K64" i="44"/>
  <c r="M64" i="44"/>
  <c r="F65" i="44"/>
  <c r="E114" i="37"/>
  <c r="E69" i="44"/>
  <c r="E65" i="44"/>
  <c r="K62" i="44"/>
  <c r="M62" i="44"/>
  <c r="K96" i="37"/>
  <c r="M28" i="44"/>
  <c r="M96" i="37"/>
  <c r="E70" i="44"/>
  <c r="E97" i="44"/>
  <c r="E117" i="37"/>
  <c r="E86" i="37"/>
  <c r="K31" i="44"/>
  <c r="E91" i="44"/>
  <c r="K88" i="44"/>
  <c r="M88" i="44"/>
  <c r="K20" i="44"/>
  <c r="K85" i="37"/>
  <c r="K33" i="44"/>
  <c r="M18" i="44"/>
  <c r="K58" i="49"/>
  <c r="E85" i="49"/>
  <c r="E91" i="49"/>
  <c r="E83" i="49"/>
  <c r="E59" i="49"/>
  <c r="E86" i="49"/>
  <c r="E82" i="37"/>
  <c r="K82" i="37"/>
  <c r="M82" i="37"/>
  <c r="K31" i="49"/>
  <c r="K77" i="49"/>
  <c r="M77" i="49"/>
  <c r="E80" i="49"/>
  <c r="M18" i="49"/>
  <c r="K33" i="49"/>
  <c r="L94" i="44"/>
  <c r="L116" i="37"/>
  <c r="L93" i="44"/>
  <c r="L101" i="44"/>
  <c r="L122" i="37"/>
  <c r="L96" i="44"/>
  <c r="L102" i="44"/>
  <c r="L123" i="37"/>
  <c r="L99" i="44"/>
  <c r="L120" i="37"/>
  <c r="K133" i="37"/>
  <c r="L126" i="37"/>
  <c r="J133" i="37"/>
  <c r="L83" i="37"/>
  <c r="I33" i="44"/>
  <c r="I87" i="37"/>
  <c r="F33" i="44"/>
  <c r="F87" i="37"/>
  <c r="E33" i="44"/>
  <c r="E87" i="37"/>
  <c r="K87" i="37"/>
  <c r="M87" i="37"/>
  <c r="K80" i="37"/>
  <c r="M80" i="37"/>
  <c r="E33" i="49"/>
  <c r="L82" i="49"/>
  <c r="L90" i="49"/>
  <c r="H133" i="37"/>
  <c r="L125" i="37"/>
  <c r="G133" i="37"/>
  <c r="M20" i="49"/>
  <c r="E88" i="49"/>
  <c r="K80" i="49"/>
  <c r="K59" i="49"/>
  <c r="K86" i="49"/>
  <c r="M31" i="49"/>
  <c r="M59" i="49"/>
  <c r="M86" i="49"/>
  <c r="K85" i="49"/>
  <c r="K91" i="49"/>
  <c r="K83" i="49"/>
  <c r="M58" i="49"/>
  <c r="K82" i="49"/>
  <c r="K90" i="49"/>
  <c r="M20" i="44"/>
  <c r="M85" i="37"/>
  <c r="E120" i="37"/>
  <c r="E99" i="44"/>
  <c r="K91" i="44"/>
  <c r="K70" i="44"/>
  <c r="K97" i="44"/>
  <c r="K117" i="37"/>
  <c r="M31" i="44"/>
  <c r="M70" i="44"/>
  <c r="M97" i="44"/>
  <c r="M117" i="37"/>
  <c r="E126" i="37"/>
  <c r="K86" i="37"/>
  <c r="E83" i="37"/>
  <c r="E93" i="44"/>
  <c r="E101" i="44"/>
  <c r="E122" i="37"/>
  <c r="E96" i="44"/>
  <c r="E94" i="44"/>
  <c r="K69" i="44"/>
  <c r="F94" i="44"/>
  <c r="F93" i="44"/>
  <c r="F101" i="44"/>
  <c r="F122" i="37"/>
  <c r="F96" i="44"/>
  <c r="F99" i="44"/>
  <c r="F120" i="37"/>
  <c r="F126" i="37"/>
  <c r="F83" i="37"/>
  <c r="M61" i="44"/>
  <c r="M65" i="44"/>
  <c r="K65" i="44"/>
  <c r="K67" i="44"/>
  <c r="K109" i="37"/>
  <c r="K114" i="37"/>
  <c r="F132" i="37"/>
  <c r="F135" i="37"/>
  <c r="M67" i="44"/>
  <c r="M109" i="37"/>
  <c r="M114" i="37"/>
  <c r="I93" i="44"/>
  <c r="I101" i="44"/>
  <c r="I122" i="37"/>
  <c r="I96" i="44"/>
  <c r="I94" i="44"/>
  <c r="I99" i="44"/>
  <c r="I120" i="37"/>
  <c r="I126" i="37"/>
  <c r="I83" i="37"/>
  <c r="I133" i="37"/>
  <c r="E82" i="49"/>
  <c r="E90" i="49"/>
  <c r="M102" i="37"/>
  <c r="M103" i="37"/>
  <c r="K102" i="37"/>
  <c r="K103" i="37"/>
  <c r="I102" i="44"/>
  <c r="I123" i="37"/>
  <c r="I116" i="37"/>
  <c r="I125" i="37"/>
  <c r="F116" i="37"/>
  <c r="F125" i="37"/>
  <c r="F102" i="44"/>
  <c r="F123" i="37"/>
  <c r="K96" i="44"/>
  <c r="K94" i="44"/>
  <c r="K93" i="44"/>
  <c r="K101" i="44"/>
  <c r="K122" i="37"/>
  <c r="M69" i="44"/>
  <c r="E116" i="37"/>
  <c r="E125" i="37"/>
  <c r="E102" i="44"/>
  <c r="E123" i="37"/>
  <c r="K126" i="37"/>
  <c r="J132" i="37"/>
  <c r="J135" i="37"/>
  <c r="K83" i="37"/>
  <c r="M86" i="37"/>
  <c r="K99" i="44"/>
  <c r="K120" i="37"/>
  <c r="K132" i="37"/>
  <c r="M91" i="44"/>
  <c r="M85" i="49"/>
  <c r="M91" i="49"/>
  <c r="M83" i="49"/>
  <c r="K88" i="49"/>
  <c r="M80" i="49"/>
  <c r="M88" i="49"/>
  <c r="M133" i="37"/>
  <c r="L133" i="37"/>
  <c r="M33" i="44"/>
  <c r="M33" i="49"/>
  <c r="M99" i="44"/>
  <c r="M120" i="37"/>
  <c r="I132" i="37"/>
  <c r="I135" i="37"/>
  <c r="K135" i="37"/>
  <c r="M126" i="37"/>
  <c r="M83" i="37"/>
  <c r="M93" i="44"/>
  <c r="M101" i="44"/>
  <c r="M122" i="37"/>
  <c r="M116" i="37"/>
  <c r="M94" i="44"/>
  <c r="M96" i="44"/>
  <c r="M102" i="44"/>
  <c r="M123" i="37"/>
  <c r="K102" i="44"/>
  <c r="K123" i="37"/>
  <c r="K116" i="37"/>
  <c r="M82" i="49"/>
  <c r="M90" i="49"/>
  <c r="H132" i="37"/>
  <c r="K118" i="37"/>
  <c r="K125" i="37"/>
  <c r="G132" i="37"/>
  <c r="G135" i="37"/>
  <c r="M125" i="37"/>
  <c r="L132" i="37"/>
  <c r="M132" i="37"/>
  <c r="H135" i="37"/>
  <c r="M135" i="37"/>
  <c r="L135" i="37"/>
</calcChain>
</file>

<file path=xl/comments1.xml><?xml version="1.0" encoding="utf-8"?>
<comments xmlns="http://schemas.openxmlformats.org/spreadsheetml/2006/main">
  <authors>
    <author>HNI Corporation</author>
  </authors>
  <commentList>
    <comment ref="D22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Approximate distance from Omni warehouse to job site</t>
        </r>
      </text>
    </comment>
    <comment ref="C30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1st typical product line</t>
        </r>
      </text>
    </comment>
    <comment ref="C31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2nd typical product line</t>
        </r>
      </text>
    </comment>
    <comment ref="C32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3rd typical product line</t>
        </r>
      </text>
    </comment>
    <comment ref="C33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4th typical product line</t>
        </r>
      </text>
    </comment>
    <comment ref="C34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5th typical product line</t>
        </r>
      </text>
    </comment>
    <comment ref="C35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6th typical product line</t>
        </r>
      </text>
    </comment>
    <comment ref="B38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stations in each typical</t>
        </r>
      </text>
    </comment>
    <comment ref="B39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Most common workstation cluster</t>
        </r>
      </text>
    </comment>
    <comment ref="B40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Do the stations have beltline power? </t>
        </r>
      </text>
    </comment>
    <comment ref="B43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Numer of non powered panels in 1 typical</t>
        </r>
      </text>
    </comment>
    <comment ref="B44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Number of powered panels in 1 typical</t>
        </r>
      </text>
    </comment>
    <comment ref="B45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Number of tiles in 1 typical</t>
        </r>
      </text>
    </comment>
    <comment ref="B46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stack ons per typical</t>
        </r>
      </text>
    </comment>
    <comment ref="B47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Qauntity of stack ons per typical</t>
        </r>
      </text>
    </comment>
    <comment ref="B48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worksufaces per typical</t>
        </r>
      </text>
    </comment>
    <comment ref="B49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overheads per typical</t>
        </r>
      </text>
    </comment>
    <comment ref="B50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pedisatal per typical - includes other filing or storage components within a workstation</t>
        </r>
      </text>
    </comment>
    <comment ref="B51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task lights per typical</t>
        </r>
      </text>
    </comment>
    <comment ref="B52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keyboard trays per typical</t>
        </r>
      </text>
    </comment>
    <comment ref="B53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wall traks requiring installation per typical</t>
        </r>
      </text>
    </comment>
    <comment ref="B54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doors required to be installed per typical</t>
        </r>
      </text>
    </comment>
    <comment ref="B55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Quantity of accessories requiring placement or installation per typical, ie. Paperf lows, gadets </t>
        </r>
      </text>
    </comment>
    <comment ref="C76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Estimated sqaure footage required if order is received  and stored at an Omni warehouse</t>
        </r>
      </text>
    </comment>
    <comment ref="C77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Estimated cubic feet required to store order</t>
        </r>
      </text>
    </comment>
    <comment ref="C78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Estimated number of 24' trucks to deliver order</t>
        </r>
      </text>
    </comment>
    <comment ref="C80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Services as outlines based on the National Standard</t>
        </r>
      </text>
    </comment>
    <comment ref="C82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Serices as outlined based on Operating Companies base line</t>
        </r>
      </text>
    </comment>
    <comment ref="C85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Percentage hours are discounted based on project productivity factors</t>
        </r>
      </text>
    </comment>
    <comment ref="C86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Hours expectation for services outlined</t>
        </r>
      </text>
    </comment>
    <comment ref="C88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Time per station based on services outlined</t>
        </r>
      </text>
    </comment>
    <comment ref="C100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Estimated Warehouse labor hours to receive and reload order</t>
        </r>
      </text>
    </comment>
    <comment ref="C101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Estimated Delivery hours from Omni warehouse to job site</t>
        </r>
      </text>
    </comment>
    <comment ref="C102" authorId="0">
      <text>
        <r>
          <rPr>
            <b/>
            <sz val="8"/>
            <color indexed="81"/>
            <rFont val="Tahoma"/>
          </rPr>
          <t>HNI Corporation:</t>
        </r>
        <r>
          <rPr>
            <sz val="8"/>
            <color indexed="81"/>
            <rFont val="Tahoma"/>
          </rPr>
          <t xml:space="preserve">
Estimated Installation hours, includes site unload, stage, assembly and electrical </t>
        </r>
      </text>
    </comment>
  </commentList>
</comments>
</file>

<file path=xl/comments2.xml><?xml version="1.0" encoding="utf-8"?>
<comments xmlns="http://schemas.openxmlformats.org/spreadsheetml/2006/main">
  <authors>
    <author>Thomas H. Dyer</author>
  </authors>
  <commentList>
    <comment ref="C12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13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2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26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39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Overtime rate.</t>
        </r>
      </text>
    </comment>
    <comment ref="C40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Overtime rate.</t>
        </r>
      </text>
    </comment>
    <comment ref="C41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Overtime rate.</t>
        </r>
      </text>
    </comment>
    <comment ref="C48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49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64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6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74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7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</commentList>
</comments>
</file>

<file path=xl/comments3.xml><?xml version="1.0" encoding="utf-8"?>
<comments xmlns="http://schemas.openxmlformats.org/spreadsheetml/2006/main">
  <authors>
    <author>Thomas H. Dyer</author>
  </authors>
  <commentList>
    <comment ref="C12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13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2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26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39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Overtime rate.</t>
        </r>
      </text>
    </comment>
    <comment ref="C40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Overtime rate.</t>
        </r>
      </text>
    </comment>
    <comment ref="C41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Overtime rate.</t>
        </r>
      </text>
    </comment>
    <comment ref="C48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49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59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60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7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76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8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  <comment ref="C86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Hours not discounted.</t>
        </r>
      </text>
    </comment>
  </commentList>
</comments>
</file>

<file path=xl/comments4.xml><?xml version="1.0" encoding="utf-8"?>
<comments xmlns="http://schemas.openxmlformats.org/spreadsheetml/2006/main">
  <authors>
    <author>Thomas H. Dyer</author>
  </authors>
  <commentList>
    <comment ref="C16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C33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C6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</commentList>
</comments>
</file>

<file path=xl/comments5.xml><?xml version="1.0" encoding="utf-8"?>
<comments xmlns="http://schemas.openxmlformats.org/spreadsheetml/2006/main">
  <authors>
    <author>Thomas H. Dyer</author>
  </authors>
  <commentList>
    <comment ref="C9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C27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C4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C63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C81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C99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C117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</commentList>
</comments>
</file>

<file path=xl/comments6.xml><?xml version="1.0" encoding="utf-8"?>
<comments xmlns="http://schemas.openxmlformats.org/spreadsheetml/2006/main">
  <authors>
    <author>KatzenbergerJ</author>
    <author>Thomas H. Dyer</author>
    <author>Omni</author>
  </authors>
  <commentList>
    <comment ref="L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(20 hours for 53' trailer) x (60 minutes per hour) = minutes per trailer / (2,700 cubes per trailer) = minutes per cube x cubes per piece = minutes per piece</t>
        </r>
      </text>
    </comment>
    <comment ref="O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(25 hours for 53' trailer) x (60 minutes per hour) = minutes per trailer / (2,700 cubes per trailer) = minutes per cube x cubes per piece = minutes per piece</t>
        </r>
      </text>
    </comment>
    <comment ref="D10" authorId="1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  <comment ref="E22" authorId="2">
      <text>
        <r>
          <rPr>
            <b/>
            <sz val="8"/>
            <color indexed="81"/>
            <rFont val="Tahoma"/>
          </rPr>
          <t>Omni:</t>
        </r>
        <r>
          <rPr>
            <sz val="8"/>
            <color indexed="81"/>
            <rFont val="Tahoma"/>
          </rPr>
          <t xml:space="preserve">
modified by JC 04272009</t>
        </r>
      </text>
    </comment>
    <comment ref="D28" authorId="1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Included in panel installation standard.</t>
        </r>
      </text>
    </comment>
  </commentList>
</comments>
</file>

<file path=xl/comments7.xml><?xml version="1.0" encoding="utf-8"?>
<comments xmlns="http://schemas.openxmlformats.org/spreadsheetml/2006/main">
  <authors>
    <author>KatzenbergerJ</author>
    <author>Thomas H. Dyer</author>
  </authors>
  <commentList>
    <comment ref="K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(9 hours X 60 minutes per hour) / (2700 cubes per trailer) x cubes per piece = minutes per cube</t>
        </r>
      </text>
    </comment>
    <comment ref="N5" authorId="0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(12 hours X 60 minutes per hour) / (2700 cubes per trailer) x cubes per piece = minutes per cube  (33% increase due to fewer cubes in elevator)
</t>
        </r>
      </text>
    </comment>
    <comment ref="C47" authorId="1">
      <text>
        <r>
          <rPr>
            <b/>
            <sz val="8"/>
            <color indexed="81"/>
            <rFont val="Tahoma"/>
          </rPr>
          <t>Thomas H. Dyer:</t>
        </r>
        <r>
          <rPr>
            <sz val="8"/>
            <color indexed="81"/>
            <rFont val="Tahoma"/>
          </rPr>
          <t xml:space="preserve">
Four pack</t>
        </r>
      </text>
    </comment>
  </commentList>
</comments>
</file>

<file path=xl/sharedStrings.xml><?xml version="1.0" encoding="utf-8"?>
<sst xmlns="http://schemas.openxmlformats.org/spreadsheetml/2006/main" count="1389" uniqueCount="502">
  <si>
    <t>Steelcase 9000</t>
  </si>
  <si>
    <t>Kimball TRAXX</t>
  </si>
  <si>
    <t>Knoll Equity</t>
  </si>
  <si>
    <t>HMI Series 2 (Encore)</t>
  </si>
  <si>
    <t>Allsteel Concensys</t>
  </si>
  <si>
    <t>Global Evolve</t>
  </si>
  <si>
    <t>Haworth Unigroup</t>
  </si>
  <si>
    <t>Haworth Places</t>
  </si>
  <si>
    <t>Haworth Enhanced Premise</t>
  </si>
  <si>
    <t>HMI Prospects</t>
  </si>
  <si>
    <t>HON Initiate</t>
  </si>
  <si>
    <t>Knoll Morrison</t>
  </si>
  <si>
    <t>Kimball Interworks</t>
  </si>
  <si>
    <t>Knoll Reff - Monolithic</t>
  </si>
  <si>
    <t>Allsteel 8000</t>
  </si>
  <si>
    <t>SMED Legs</t>
  </si>
  <si>
    <t>Allsteel Terrace 3.4</t>
  </si>
  <si>
    <t>Haworth Unigroup Too</t>
  </si>
  <si>
    <t>Haworth Compose</t>
  </si>
  <si>
    <t>Herman Miller Ethospace</t>
  </si>
  <si>
    <t>Herman Miller Vivo</t>
  </si>
  <si>
    <t>Kimball Cetra</t>
  </si>
  <si>
    <t>Knoll AutoStrada 1 &amp; 2</t>
  </si>
  <si>
    <t>Allsteel Terrace 2.6</t>
  </si>
  <si>
    <t>Herman Miller "Q" Original</t>
  </si>
  <si>
    <t>Inscape Platform</t>
  </si>
  <si>
    <t>Haworth Original Premise</t>
  </si>
  <si>
    <t>Steelcase Montage</t>
  </si>
  <si>
    <t>Steelcase Context</t>
  </si>
  <si>
    <t>Kimball Xsite</t>
  </si>
  <si>
    <t>Trendway Contrada</t>
  </si>
  <si>
    <t>Haworth Premise Stackable Original</t>
  </si>
  <si>
    <t>KI Wireworks</t>
  </si>
  <si>
    <t>Steelcase Pathways</t>
  </si>
  <si>
    <t>Maispace</t>
  </si>
  <si>
    <t>HMI MyStudio</t>
  </si>
  <si>
    <t>HMI Series 1</t>
  </si>
  <si>
    <t>Knoll Dividends - Monolithic</t>
  </si>
  <si>
    <t>Qty</t>
  </si>
  <si>
    <t>OMNI Workspace Company</t>
  </si>
  <si>
    <t>Quote Line Item</t>
  </si>
  <si>
    <t>Seating</t>
  </si>
  <si>
    <t>Bookcases - 4 Shelf</t>
  </si>
  <si>
    <t>Bookcases - 5 Shelf</t>
  </si>
  <si>
    <t>Filing</t>
  </si>
  <si>
    <t>Cabinets</t>
  </si>
  <si>
    <t>Tables</t>
  </si>
  <si>
    <t>Category</t>
  </si>
  <si>
    <t>Seating - Executive</t>
  </si>
  <si>
    <t>Seating - Task</t>
  </si>
  <si>
    <t>Seating - Side</t>
  </si>
  <si>
    <t>Seating - Stacking</t>
  </si>
  <si>
    <t>Seating - Lounge Double Sofa</t>
  </si>
  <si>
    <t>Tables - Training</t>
  </si>
  <si>
    <t>Tables - Folding</t>
  </si>
  <si>
    <t>Files - Lateral 2 Drawer</t>
  </si>
  <si>
    <t>Files - Lateral 3 Drawer</t>
  </si>
  <si>
    <t>Files - Lateral 4 Drawer</t>
  </si>
  <si>
    <t>Files - Lateral 5 Drawer</t>
  </si>
  <si>
    <t>Files - Vertical 2 Drawer</t>
  </si>
  <si>
    <t>Files - Vertical 3 Drawer</t>
  </si>
  <si>
    <t>Files - Vertical 4 Drawer</t>
  </si>
  <si>
    <t>Files - Vertical 5 Drawer</t>
  </si>
  <si>
    <t>Bookcases</t>
  </si>
  <si>
    <t>Total - Systems Furniture</t>
  </si>
  <si>
    <t>Reload</t>
  </si>
  <si>
    <t>Direct Site Delivery</t>
  </si>
  <si>
    <t>Y</t>
  </si>
  <si>
    <t>N</t>
  </si>
  <si>
    <t>Install</t>
  </si>
  <si>
    <t>Other Direct Resources</t>
  </si>
  <si>
    <t>Detailed Job Quote Builder</t>
  </si>
  <si>
    <t>Project Management Hours</t>
  </si>
  <si>
    <t>Material Handling Equipment Hours</t>
  </si>
  <si>
    <t>Travel - Summary Std Quantity @ $1.00</t>
  </si>
  <si>
    <t>Parking - Summary Std Quantity @ $1.00</t>
  </si>
  <si>
    <t>Per Diem - Summary Std Quantity @ $1.00</t>
  </si>
  <si>
    <t>Dumpsters - Summary Std Quantity @ $1.00</t>
  </si>
  <si>
    <t>Direct Supplies - Summary Std Quantity @ $1.00</t>
  </si>
  <si>
    <t>Estimated Hours/ Qty</t>
  </si>
  <si>
    <t>Systems</t>
  </si>
  <si>
    <t>If OMNI Co. delivery required, miles to job site?</t>
  </si>
  <si>
    <t>Site Move/ Stage Factors:</t>
  </si>
  <si>
    <t>Select Job Site "Move/ Stage" Environment:</t>
  </si>
  <si>
    <t>Truck</t>
  </si>
  <si>
    <t>Cost Denom/ Unitization Rate</t>
  </si>
  <si>
    <t>Typical 1</t>
  </si>
  <si>
    <t>Typical 2</t>
  </si>
  <si>
    <t>Typical 3</t>
  </si>
  <si>
    <t>Typical 4</t>
  </si>
  <si>
    <t>Typical 5</t>
  </si>
  <si>
    <t>Typical 6</t>
  </si>
  <si>
    <t>Workstation Count</t>
  </si>
  <si>
    <t>"Workstation Typical" Component List</t>
  </si>
  <si>
    <t>Worksurfaces</t>
  </si>
  <si>
    <t>Overheads</t>
  </si>
  <si>
    <t>Walltrack</t>
  </si>
  <si>
    <t>Doors</t>
  </si>
  <si>
    <t>Total</t>
  </si>
  <si>
    <t>Beltline Power? (Y or N)</t>
  </si>
  <si>
    <t>Workstation BOM Typicals</t>
  </si>
  <si>
    <t>Component Translator</t>
  </si>
  <si>
    <t>Accessories</t>
  </si>
  <si>
    <t>Standard Extended Activity Times</t>
  </si>
  <si>
    <t>Cubic feet</t>
  </si>
  <si>
    <t xml:space="preserve">Square feet </t>
  </si>
  <si>
    <t>Beltline Electrical</t>
  </si>
  <si>
    <t xml:space="preserve">     Total</t>
  </si>
  <si>
    <r>
      <t xml:space="preserve">Std Install </t>
    </r>
    <r>
      <rPr>
        <b/>
        <sz val="10"/>
        <color indexed="12"/>
        <rFont val="Arial"/>
        <family val="2"/>
      </rPr>
      <t>hours</t>
    </r>
  </si>
  <si>
    <t>Systems Furniture Line</t>
  </si>
  <si>
    <t>Typical</t>
  </si>
  <si>
    <t>24' Straight Trucks</t>
  </si>
  <si>
    <t>Install Resources</t>
  </si>
  <si>
    <t>Station cluster</t>
  </si>
  <si>
    <t>Actual Panel Count</t>
  </si>
  <si>
    <t>Total Shared Panels</t>
  </si>
  <si>
    <t>Nominal Typical Extension</t>
  </si>
  <si>
    <t>Nominal Spine per WS</t>
  </si>
  <si>
    <t>Nominal Wing per WS</t>
  </si>
  <si>
    <t>Workstation Typical Panel Count</t>
  </si>
  <si>
    <t>Typical Schematics</t>
  </si>
  <si>
    <t>(Cluster x Typical) Lookup Key</t>
  </si>
  <si>
    <t>Typical Summary</t>
  </si>
  <si>
    <t>Typical 1 - Extended Industry Standards</t>
  </si>
  <si>
    <t>Typical 2 - Extended Industry Standards</t>
  </si>
  <si>
    <t>Typical 3 - Extended Industry Standards</t>
  </si>
  <si>
    <t>Typical 4 - Extended Industry Standards</t>
  </si>
  <si>
    <t>Typical 5 - Extended Industry Standards</t>
  </si>
  <si>
    <t>Typical 6 - Extended Industry Standards</t>
  </si>
  <si>
    <t>Summary of Typicals - Extended Industry Standards</t>
  </si>
  <si>
    <t>|</t>
  </si>
  <si>
    <t>Nominal Panels per Cluster</t>
  </si>
  <si>
    <t>Estimated Number of Clusters</t>
  </si>
  <si>
    <t>Shared Panel Lookup Key</t>
  </si>
  <si>
    <t>Workstation Typical Configurations</t>
  </si>
  <si>
    <t>Workstation Typical Component Counts</t>
  </si>
  <si>
    <t>Extended Unadjusted Component Counts</t>
  </si>
  <si>
    <t>Dominant Workstation Cluster Configuration</t>
  </si>
  <si>
    <t>Tasklights</t>
  </si>
  <si>
    <t>Cubes</t>
  </si>
  <si>
    <t>Beltline Power</t>
  </si>
  <si>
    <t>Keyboard trays</t>
  </si>
  <si>
    <t xml:space="preserve">Pedestals </t>
  </si>
  <si>
    <t>Driver</t>
  </si>
  <si>
    <t>Cubic Feet per Unit</t>
  </si>
  <si>
    <t>Minimum Square Feet per Unit</t>
  </si>
  <si>
    <t>Warehouse Unload (40%) / Reload (60%) Minutes</t>
  </si>
  <si>
    <t>Install Minutes</t>
  </si>
  <si>
    <t>Bookcases - 2 - 3 Shelf</t>
  </si>
  <si>
    <t>Cabinets - Freestanding</t>
  </si>
  <si>
    <t>Cabinets - Mail Sorter</t>
  </si>
  <si>
    <t>Files - Flat File</t>
  </si>
  <si>
    <t>Files - Overfile</t>
  </si>
  <si>
    <t>Seating - Bench</t>
  </si>
  <si>
    <t xml:space="preserve">Seating - Conference </t>
  </si>
  <si>
    <t>Seating - KD Moderate Assembly</t>
  </si>
  <si>
    <t>Seating - KD Simple Assembly</t>
  </si>
  <si>
    <t xml:space="preserve">Seating - Stadium </t>
  </si>
  <si>
    <t>Tables - Coffee-table</t>
  </si>
  <si>
    <t>Tables - Conference &gt; 20' L</t>
  </si>
  <si>
    <t>Tables - Conference 12' to 16' L</t>
  </si>
  <si>
    <t>Tables - Conference 16' to 20' L</t>
  </si>
  <si>
    <t>Tables - Conference 8' to 12' L</t>
  </si>
  <si>
    <t>Tables - Occasional table</t>
  </si>
  <si>
    <t>Stack-on Frame with Glass Tile</t>
  </si>
  <si>
    <t xml:space="preserve">Panels - Non-powered </t>
  </si>
  <si>
    <t xml:space="preserve">Panels - Powered </t>
  </si>
  <si>
    <t>Stack-on Frame with Fabric Tile</t>
  </si>
  <si>
    <t>Tiles (for Structural Frames - Fabric or Rail)</t>
  </si>
  <si>
    <t>Minimum Warehouse Square Feet per Unit</t>
  </si>
  <si>
    <t>Warehouse Unload Minutes  @ 40%</t>
  </si>
  <si>
    <t>Warehouse  Reload Minutes @ 60%</t>
  </si>
  <si>
    <t>Job Site Unload and Stage Minutes</t>
  </si>
  <si>
    <t>Electrical Minutes</t>
  </si>
  <si>
    <t xml:space="preserve">Cabinets - Wall Hung </t>
  </si>
  <si>
    <t>Credenzas</t>
  </si>
  <si>
    <t>Hutches</t>
  </si>
  <si>
    <t>Desks</t>
  </si>
  <si>
    <t>Credenzas - Assembled</t>
  </si>
  <si>
    <t>Credenzas - KD</t>
  </si>
  <si>
    <t>Desks - 1 Ped</t>
  </si>
  <si>
    <t>Desks - 2 Ped</t>
  </si>
  <si>
    <t>Desks - KD 1 Ped</t>
  </si>
  <si>
    <t>Desks - KD 2 Ped</t>
  </si>
  <si>
    <t>Desks - Return</t>
  </si>
  <si>
    <t>Desks - Return KD</t>
  </si>
  <si>
    <t>Desks - Shell KD</t>
  </si>
  <si>
    <t>Hutches - Assembled</t>
  </si>
  <si>
    <t>Hutches - KD Large &gt; 72"</t>
  </si>
  <si>
    <t>Hutches - KD Medium 60"</t>
  </si>
  <si>
    <t>Hutches - KD Small 40"</t>
  </si>
  <si>
    <t>Access - Lectern</t>
  </si>
  <si>
    <t>Access - Visual Board Moblie</t>
  </si>
  <si>
    <t>Access - Magazine / Literature Rack Wallhung</t>
  </si>
  <si>
    <t>Access - White Board - 4x6 to 4x8 Wallhung</t>
  </si>
  <si>
    <t>Casegoods National Industry Standards Table</t>
  </si>
  <si>
    <t>Times in Minutes</t>
  </si>
  <si>
    <t>Item Description</t>
  </si>
  <si>
    <t>Systems National Industry Standards Table</t>
  </si>
  <si>
    <t>Minutes per Cube</t>
  </si>
  <si>
    <t>Length Feet</t>
  </si>
  <si>
    <t>Width Feet</t>
  </si>
  <si>
    <t>Depth Feet</t>
  </si>
  <si>
    <t>Lookup Index</t>
  </si>
  <si>
    <t>+</t>
  </si>
  <si>
    <t>+ = power panels</t>
  </si>
  <si>
    <t>Unload</t>
  </si>
  <si>
    <t>Job Site Unload Minutes @ 25%</t>
  </si>
  <si>
    <t>Job Site Stage Minutes @ 75%</t>
  </si>
  <si>
    <t>Not industry standard "typical workstation" components</t>
  </si>
  <si>
    <t>| = non-power panels</t>
  </si>
  <si>
    <t>Configuration Index</t>
  </si>
  <si>
    <t>Check Total Actual Panels</t>
  </si>
  <si>
    <t>Check Power Panels</t>
  </si>
  <si>
    <t>Check Non-power Panels</t>
  </si>
  <si>
    <t>Shared Panels Non-powered Panels per Cluster</t>
  </si>
  <si>
    <t>Shared Panels Powered Panels per Cluster</t>
  </si>
  <si>
    <t>Est Shared Panels Non-powered Panels</t>
  </si>
  <si>
    <t>Est Shared Panels Powered Panels</t>
  </si>
  <si>
    <t>Cluster</t>
  </si>
  <si>
    <t>Total Powered Panels</t>
  </si>
  <si>
    <t>Shared Powered Panels</t>
  </si>
  <si>
    <t>Non-shared Powered Panels</t>
  </si>
  <si>
    <t>Total Non-powered Panels</t>
  </si>
  <si>
    <t>Shared Non-powered Panels</t>
  </si>
  <si>
    <t>Non-shared Non-powered Panels</t>
  </si>
  <si>
    <t>Extended Adjusted Component Counts</t>
  </si>
  <si>
    <r>
      <t xml:space="preserve">Std Electrical </t>
    </r>
    <r>
      <rPr>
        <b/>
        <sz val="10"/>
        <color indexed="12"/>
        <rFont val="Arial"/>
        <family val="2"/>
      </rPr>
      <t>hours</t>
    </r>
  </si>
  <si>
    <t>(24x8x6)</t>
  </si>
  <si>
    <t>Delivery Resources</t>
  </si>
  <si>
    <t>RDI Internal Handling Resources</t>
  </si>
  <si>
    <t>Estimated Crew Size</t>
  </si>
  <si>
    <r>
      <t xml:space="preserve">Industry Std Adjusted Install </t>
    </r>
    <r>
      <rPr>
        <b/>
        <sz val="10"/>
        <color indexed="12"/>
        <rFont val="Arial"/>
        <family val="2"/>
      </rPr>
      <t>hours</t>
    </r>
  </si>
  <si>
    <r>
      <t xml:space="preserve">Driver </t>
    </r>
    <r>
      <rPr>
        <b/>
        <sz val="10"/>
        <color indexed="12"/>
        <rFont val="Arial"/>
        <family val="2"/>
      </rPr>
      <t>hours</t>
    </r>
    <r>
      <rPr>
        <b/>
        <sz val="10"/>
        <rFont val="Arial"/>
        <family val="2"/>
      </rPr>
      <t xml:space="preserve"> @ 35 mph</t>
    </r>
  </si>
  <si>
    <r>
      <t xml:space="preserve">Std </t>
    </r>
    <r>
      <rPr>
        <b/>
        <sz val="10"/>
        <color indexed="10"/>
        <rFont val="Arial"/>
        <family val="2"/>
      </rPr>
      <t>Unload</t>
    </r>
    <r>
      <rPr>
        <b/>
        <sz val="10"/>
        <rFont val="Arial"/>
        <family val="2"/>
      </rPr>
      <t xml:space="preserve"> </t>
    </r>
    <r>
      <rPr>
        <b/>
        <sz val="10"/>
        <color indexed="12"/>
        <rFont val="Arial"/>
        <family val="2"/>
      </rPr>
      <t>hours</t>
    </r>
  </si>
  <si>
    <r>
      <t xml:space="preserve">Std </t>
    </r>
    <r>
      <rPr>
        <b/>
        <sz val="10"/>
        <color indexed="10"/>
        <rFont val="Arial"/>
        <family val="2"/>
      </rPr>
      <t>Reload</t>
    </r>
    <r>
      <rPr>
        <b/>
        <sz val="10"/>
        <rFont val="Arial"/>
        <family val="2"/>
      </rPr>
      <t xml:space="preserve"> </t>
    </r>
    <r>
      <rPr>
        <b/>
        <sz val="10"/>
        <color indexed="12"/>
        <rFont val="Arial"/>
        <family val="2"/>
      </rPr>
      <t>hours</t>
    </r>
  </si>
  <si>
    <r>
      <t xml:space="preserve">Total </t>
    </r>
    <r>
      <rPr>
        <b/>
        <sz val="10"/>
        <color indexed="10"/>
        <rFont val="Arial"/>
        <family val="2"/>
      </rPr>
      <t>Truck</t>
    </r>
    <r>
      <rPr>
        <b/>
        <sz val="10"/>
        <rFont val="Arial"/>
        <family val="2"/>
      </rPr>
      <t xml:space="preserve"> </t>
    </r>
    <r>
      <rPr>
        <b/>
        <sz val="10"/>
        <color indexed="12"/>
        <rFont val="Arial"/>
        <family val="2"/>
      </rPr>
      <t>hours</t>
    </r>
  </si>
  <si>
    <r>
      <t>Truck RT</t>
    </r>
    <r>
      <rPr>
        <b/>
        <sz val="10"/>
        <color indexed="10"/>
        <rFont val="Arial"/>
        <family val="2"/>
      </rPr>
      <t xml:space="preserve"> Drive</t>
    </r>
    <r>
      <rPr>
        <b/>
        <sz val="10"/>
        <rFont val="Arial"/>
        <family val="2"/>
      </rPr>
      <t xml:space="preserve"> </t>
    </r>
    <r>
      <rPr>
        <b/>
        <sz val="10"/>
        <color indexed="12"/>
        <rFont val="Arial"/>
        <family val="2"/>
      </rPr>
      <t>hours</t>
    </r>
    <r>
      <rPr>
        <b/>
        <sz val="10"/>
        <rFont val="Arial"/>
        <family val="2"/>
      </rPr>
      <t xml:space="preserve"> @ 35 mph</t>
    </r>
  </si>
  <si>
    <r>
      <t xml:space="preserve">Std </t>
    </r>
    <r>
      <rPr>
        <b/>
        <sz val="10"/>
        <color indexed="10"/>
        <rFont val="Arial"/>
        <family val="2"/>
      </rPr>
      <t>Job Site Unload</t>
    </r>
    <r>
      <rPr>
        <b/>
        <sz val="10"/>
        <rFont val="Arial"/>
        <family val="2"/>
      </rPr>
      <t xml:space="preserve"> </t>
    </r>
    <r>
      <rPr>
        <b/>
        <sz val="10"/>
        <color indexed="12"/>
        <rFont val="Arial"/>
        <family val="2"/>
      </rPr>
      <t>hours</t>
    </r>
  </si>
  <si>
    <r>
      <t xml:space="preserve">Std </t>
    </r>
    <r>
      <rPr>
        <b/>
        <sz val="10"/>
        <color indexed="10"/>
        <rFont val="Arial"/>
        <family val="2"/>
      </rPr>
      <t>Job Site Move/ Stage</t>
    </r>
    <r>
      <rPr>
        <b/>
        <sz val="10"/>
        <rFont val="Arial"/>
        <family val="2"/>
      </rPr>
      <t xml:space="preserve"> </t>
    </r>
    <r>
      <rPr>
        <b/>
        <sz val="10"/>
        <color indexed="12"/>
        <rFont val="Arial"/>
        <family val="2"/>
      </rPr>
      <t>hours</t>
    </r>
  </si>
  <si>
    <t>Job Site ConditionsMove/ Stage Adjustment factor</t>
  </si>
  <si>
    <r>
      <t>Adjusted Job Site Move/ Stage</t>
    </r>
    <r>
      <rPr>
        <b/>
        <sz val="10"/>
        <rFont val="Arial"/>
        <family val="2"/>
      </rPr>
      <t xml:space="preserve"> </t>
    </r>
    <r>
      <rPr>
        <b/>
        <sz val="10"/>
        <color indexed="12"/>
        <rFont val="Arial"/>
        <family val="2"/>
      </rPr>
      <t>hours</t>
    </r>
  </si>
  <si>
    <t>Job Site Move/ Stage Resources</t>
  </si>
  <si>
    <t>Dock Access with Elevator</t>
  </si>
  <si>
    <t>No Dock Access with Elevator</t>
  </si>
  <si>
    <t>Correction Factor</t>
  </si>
  <si>
    <t>24' Truck Std Truckload Count</t>
  </si>
  <si>
    <t>System Line</t>
  </si>
  <si>
    <t>Industry Std Adjustment Factor</t>
  </si>
  <si>
    <t>National Std hours</t>
  </si>
  <si>
    <t>AIA Std hours</t>
  </si>
  <si>
    <t>A&amp;M MN Std hours</t>
  </si>
  <si>
    <t>A&amp;M WI Std hours</t>
  </si>
  <si>
    <t>CI MN Std hours</t>
  </si>
  <si>
    <t>ICS Std hours</t>
  </si>
  <si>
    <t>Total - Casegoods</t>
  </si>
  <si>
    <t>Electrical</t>
  </si>
  <si>
    <t>Casegoods</t>
  </si>
  <si>
    <t>Misc Resources</t>
  </si>
  <si>
    <t>Unadjusted Panel Count</t>
  </si>
  <si>
    <t>Panel Count Adjustment</t>
  </si>
  <si>
    <t>Structural Tile Adjustment Factor</t>
  </si>
  <si>
    <t>Single Workstation Typical Configurations</t>
  </si>
  <si>
    <t>Systems - Manufacturer direct job site delivery?</t>
  </si>
  <si>
    <t>Casegoods - Manufacturer direct job site delivery?</t>
  </si>
  <si>
    <t>T</t>
  </si>
  <si>
    <t>OMNI ROC</t>
  </si>
  <si>
    <t>A&amp;M MN</t>
  </si>
  <si>
    <t>A&amp;M WI</t>
  </si>
  <si>
    <t>AIA</t>
  </si>
  <si>
    <t>CI IL</t>
  </si>
  <si>
    <t>CI MN</t>
  </si>
  <si>
    <t>CI WI</t>
  </si>
  <si>
    <t>ECMS</t>
  </si>
  <si>
    <t>ICS</t>
  </si>
  <si>
    <r>
      <t xml:space="preserve">RD Std Unload </t>
    </r>
    <r>
      <rPr>
        <b/>
        <sz val="10"/>
        <color indexed="12"/>
        <rFont val="Arial"/>
        <family val="2"/>
      </rPr>
      <t>minutes</t>
    </r>
  </si>
  <si>
    <r>
      <t xml:space="preserve">RD Std Reload </t>
    </r>
    <r>
      <rPr>
        <b/>
        <sz val="10"/>
        <color indexed="12"/>
        <rFont val="Arial"/>
        <family val="2"/>
      </rPr>
      <t>minutes</t>
    </r>
  </si>
  <si>
    <r>
      <t xml:space="preserve">Job Site Std  Unload </t>
    </r>
    <r>
      <rPr>
        <b/>
        <sz val="10"/>
        <color indexed="12"/>
        <rFont val="Arial"/>
        <family val="2"/>
      </rPr>
      <t>minutes</t>
    </r>
  </si>
  <si>
    <r>
      <t xml:space="preserve">Job Site Std Move/ Stage </t>
    </r>
    <r>
      <rPr>
        <b/>
        <sz val="10"/>
        <color indexed="12"/>
        <rFont val="Arial"/>
        <family val="2"/>
      </rPr>
      <t>minutes</t>
    </r>
  </si>
  <si>
    <r>
      <t xml:space="preserve">RD Std Unload </t>
    </r>
    <r>
      <rPr>
        <b/>
        <sz val="10"/>
        <color indexed="12"/>
        <rFont val="Arial"/>
        <family val="2"/>
      </rPr>
      <t>hours</t>
    </r>
  </si>
  <si>
    <r>
      <t xml:space="preserve">RD Std Reload </t>
    </r>
    <r>
      <rPr>
        <b/>
        <sz val="10"/>
        <color indexed="12"/>
        <rFont val="Arial"/>
        <family val="2"/>
      </rPr>
      <t>hours</t>
    </r>
  </si>
  <si>
    <r>
      <t xml:space="preserve">Job Site Std Unload </t>
    </r>
    <r>
      <rPr>
        <b/>
        <sz val="10"/>
        <color indexed="12"/>
        <rFont val="Arial"/>
        <family val="2"/>
      </rPr>
      <t>hours</t>
    </r>
  </si>
  <si>
    <r>
      <t xml:space="preserve">Job Site Std Move/ Stage </t>
    </r>
    <r>
      <rPr>
        <b/>
        <sz val="10"/>
        <color indexed="12"/>
        <rFont val="Arial"/>
        <family val="2"/>
      </rPr>
      <t>hours</t>
    </r>
  </si>
  <si>
    <r>
      <t xml:space="preserve">Job Site Std Install </t>
    </r>
    <r>
      <rPr>
        <b/>
        <sz val="10"/>
        <color indexed="12"/>
        <rFont val="Arial"/>
        <family val="2"/>
      </rPr>
      <t>hours</t>
    </r>
  </si>
  <si>
    <r>
      <t xml:space="preserve">Job Site Std Electrical </t>
    </r>
    <r>
      <rPr>
        <b/>
        <sz val="10"/>
        <color indexed="12"/>
        <rFont val="Arial"/>
        <family val="2"/>
      </rPr>
      <t>hours</t>
    </r>
  </si>
  <si>
    <r>
      <t xml:space="preserve">Job Site Std Install </t>
    </r>
    <r>
      <rPr>
        <b/>
        <sz val="10"/>
        <color indexed="12"/>
        <rFont val="Arial"/>
        <family val="2"/>
      </rPr>
      <t>minutes</t>
    </r>
  </si>
  <si>
    <r>
      <t xml:space="preserve">Job Site Std Electrical </t>
    </r>
    <r>
      <rPr>
        <b/>
        <sz val="10"/>
        <color indexed="12"/>
        <rFont val="Arial"/>
        <family val="2"/>
      </rPr>
      <t>minutes</t>
    </r>
  </si>
  <si>
    <t>Job Site Std Move Stage hours per</t>
  </si>
  <si>
    <t>Job Site Std Electrical hours per</t>
  </si>
  <si>
    <t>Job Site Std Install hours per</t>
  </si>
  <si>
    <t>RD Std Unload/ Reload hours per</t>
  </si>
  <si>
    <t>Total Std Job Site hours per</t>
  </si>
  <si>
    <t>950 cubic feet @ 80%</t>
  </si>
  <si>
    <t>Net Effective Billing Rate</t>
  </si>
  <si>
    <t>Receive</t>
  </si>
  <si>
    <t>Move/ Stage</t>
  </si>
  <si>
    <t>Quantity/ Count:</t>
  </si>
  <si>
    <t>Summary</t>
  </si>
  <si>
    <t>OMNI Hours Discount %:</t>
  </si>
  <si>
    <t>ROC</t>
  </si>
  <si>
    <t>Receive Reg</t>
  </si>
  <si>
    <t>Reload Reg</t>
  </si>
  <si>
    <t>Truck Reg</t>
  </si>
  <si>
    <t>Driver Reg</t>
  </si>
  <si>
    <t>Unload Reg</t>
  </si>
  <si>
    <t>Move/ Stage Reg</t>
  </si>
  <si>
    <t>Install Reg</t>
  </si>
  <si>
    <t>Electrical Reg</t>
  </si>
  <si>
    <t>Receive OT</t>
  </si>
  <si>
    <t>Reload OT</t>
  </si>
  <si>
    <t>Truck OT</t>
  </si>
  <si>
    <t>Driver OT</t>
  </si>
  <si>
    <t>Unload OT</t>
  </si>
  <si>
    <t>Move/ Stage OT</t>
  </si>
  <si>
    <t>Install OT</t>
  </si>
  <si>
    <t>Electrical OT</t>
  </si>
  <si>
    <t>Avg wo CI IL</t>
  </si>
  <si>
    <t>Cubes:</t>
  </si>
  <si>
    <t>Warehouse Square Feet:</t>
  </si>
  <si>
    <t>Total Industry Std Hours</t>
  </si>
  <si>
    <t>Total OMNI Adjusted Hours</t>
  </si>
  <si>
    <t>OMNI Std Bill Rates:</t>
  </si>
  <si>
    <t>OMNI Bill Rate Discount %:</t>
  </si>
  <si>
    <t>OMNI Std Cost Rates:</t>
  </si>
  <si>
    <t>Total Direct Margin $</t>
  </si>
  <si>
    <t>Total Direct Margin %</t>
  </si>
  <si>
    <t>OMNI Bill - Std Hours @ Adjusted Rate</t>
  </si>
  <si>
    <t>Select System Typical Line</t>
  </si>
  <si>
    <t>OMNI Regional Operating Company:</t>
  </si>
  <si>
    <t xml:space="preserve">   Typical 1:</t>
  </si>
  <si>
    <t xml:space="preserve">   Typical 2:</t>
  </si>
  <si>
    <t xml:space="preserve">   Typical 3:</t>
  </si>
  <si>
    <t xml:space="preserve">   Typical 4:</t>
  </si>
  <si>
    <t xml:space="preserve">   Typical 5:</t>
  </si>
  <si>
    <t xml:space="preserve">   Typical 6:</t>
  </si>
  <si>
    <t xml:space="preserve">   Specify "Systems Typical" Component Counts:</t>
  </si>
  <si>
    <t xml:space="preserve">      Panels - Non-powered </t>
  </si>
  <si>
    <t xml:space="preserve">      Panels - Powered </t>
  </si>
  <si>
    <t xml:space="preserve">      Tiles (for Structural Frames - Fabric or Rail)</t>
  </si>
  <si>
    <t xml:space="preserve">      Stack-on Frame with Fabric Tile</t>
  </si>
  <si>
    <t xml:space="preserve">      Stack-on Frame with Glass Tile</t>
  </si>
  <si>
    <t xml:space="preserve">      Worksurfaces</t>
  </si>
  <si>
    <t xml:space="preserve">      Overheads</t>
  </si>
  <si>
    <t xml:space="preserve">      Pedestals </t>
  </si>
  <si>
    <t xml:space="preserve">      Tasklights</t>
  </si>
  <si>
    <t xml:space="preserve">      Keyboard trays</t>
  </si>
  <si>
    <t xml:space="preserve">      Walltrack</t>
  </si>
  <si>
    <t xml:space="preserve">      Doors</t>
  </si>
  <si>
    <t xml:space="preserve">      Accessories</t>
  </si>
  <si>
    <t>Job Specification:</t>
  </si>
  <si>
    <t xml:space="preserve">   Net Effective Billing Rate $ per Hour</t>
  </si>
  <si>
    <t xml:space="preserve">   Bill Rate Discounting - Margin Impact</t>
  </si>
  <si>
    <t>Industry Std Bill $ - Std Hours @ Std Rate</t>
  </si>
  <si>
    <t>OMNI Bill $ - Std Hours @ Discounted Bill Rate</t>
  </si>
  <si>
    <t>OMNI Direct Cost $ - Adjusted Hours @ Std Cost Rate</t>
  </si>
  <si>
    <t>OMNI Direct Margin $</t>
  </si>
  <si>
    <t>OMNI Direct Margin %</t>
  </si>
  <si>
    <t>Total Cost - Adjusted Hours @ Std Cost Rate</t>
  </si>
  <si>
    <t xml:space="preserve">   Average Labor Hours per Workstation</t>
  </si>
  <si>
    <t>Industry Std Bill $:</t>
  </si>
  <si>
    <t>OMNI Direct Cost $:</t>
  </si>
  <si>
    <t>Industry Std Hours - for Billing:</t>
  </si>
  <si>
    <t>OMNI Discounted Hours - for Costing/ Productivity:</t>
  </si>
  <si>
    <t>Hours Discounted</t>
  </si>
  <si>
    <t>Original Data:</t>
  </si>
  <si>
    <t>Katz' correction factor 050207 - 48%</t>
  </si>
  <si>
    <t>AIA Adj Factor</t>
  </si>
  <si>
    <t>A&amp;M MN Adj Factor</t>
  </si>
  <si>
    <t>A&amp;M WI Adj Factor</t>
  </si>
  <si>
    <t>CI MN Adj Factor</t>
  </si>
  <si>
    <t>ICS Adj Factor</t>
  </si>
  <si>
    <t>Product Line Correction Factor</t>
  </si>
  <si>
    <t>ROC Adj Factors</t>
  </si>
  <si>
    <t>CI IL Adj Factor</t>
  </si>
  <si>
    <t>ECMS Adj Factor</t>
  </si>
  <si>
    <t>ECMS Std hours</t>
  </si>
  <si>
    <t>CI IL Std hours</t>
  </si>
  <si>
    <t>Index Lookup</t>
  </si>
  <si>
    <t>Cost $</t>
  </si>
  <si>
    <t>Tax Table</t>
  </si>
  <si>
    <t>Taxable or Non-taxable?</t>
  </si>
  <si>
    <t>OMNI Discounted Bill $:</t>
  </si>
  <si>
    <t>OMNI Discounted Bill $</t>
  </si>
  <si>
    <t>Margin %</t>
  </si>
  <si>
    <t>Customer</t>
  </si>
  <si>
    <t>End User</t>
  </si>
  <si>
    <r>
      <t xml:space="preserve">   Systems:</t>
    </r>
    <r>
      <rPr>
        <b/>
        <sz val="8"/>
        <rFont val="Arial"/>
        <family val="2"/>
      </rPr>
      <t xml:space="preserve">  Shipping Method </t>
    </r>
  </si>
  <si>
    <r>
      <t xml:space="preserve">   Casegoods:</t>
    </r>
    <r>
      <rPr>
        <b/>
        <sz val="8"/>
        <rFont val="Arial"/>
        <family val="2"/>
      </rPr>
      <t xml:space="preserve">  Shipping Method </t>
    </r>
  </si>
  <si>
    <t xml:space="preserve">   Select Job Site Delivery Conditions</t>
  </si>
  <si>
    <t xml:space="preserve">Specify Other Services </t>
  </si>
  <si>
    <t>Trash</t>
  </si>
  <si>
    <t>Equipment</t>
  </si>
  <si>
    <t>Subcontractors</t>
  </si>
  <si>
    <t>Supplies</t>
  </si>
  <si>
    <t>Other Labor</t>
  </si>
  <si>
    <t>Labor Upcharges</t>
  </si>
  <si>
    <t>Perdiem</t>
  </si>
  <si>
    <t>Travel</t>
  </si>
  <si>
    <t xml:space="preserve">            </t>
  </si>
  <si>
    <t>Specify Other Furniture</t>
  </si>
  <si>
    <t>Updated 6-29</t>
  </si>
  <si>
    <t>Allsteel Reach</t>
  </si>
  <si>
    <t>Allsteel Align</t>
  </si>
  <si>
    <t>Haworth Race</t>
  </si>
  <si>
    <t>Steelcase Answers</t>
  </si>
  <si>
    <t xml:space="preserve">Steelcase Avenir </t>
  </si>
  <si>
    <t>Steelcase  Kick</t>
  </si>
  <si>
    <t>Teknion  Boulevard</t>
  </si>
  <si>
    <t xml:space="preserve">Teknion TOS </t>
  </si>
  <si>
    <t>Teknion  Leverage</t>
  </si>
  <si>
    <t>Teknion Transit</t>
  </si>
  <si>
    <t>Minneapolis</t>
  </si>
  <si>
    <t>QUOTE NO. 74294-1</t>
  </si>
  <si>
    <t xml:space="preserve">   OMNI ROC Quote &gt; ROC Std "Alert"</t>
  </si>
  <si>
    <t xml:space="preserve">   OMNI ROC Adjusted Hours - Productivity</t>
  </si>
  <si>
    <t xml:space="preserve">   OMNI ROC Hours Discounted</t>
  </si>
  <si>
    <t xml:space="preserve">   OMNI ROC Bill Rate Adjustment % - (Increase) Decrease</t>
  </si>
  <si>
    <t xml:space="preserve">   OMNI ROC Direct Cost  $ - Adjusted Hours @ Std Cost Rate</t>
  </si>
  <si>
    <t xml:space="preserve">   OMNI ROC Direct Margin $</t>
  </si>
  <si>
    <t xml:space="preserve">   OMNI ROC Direct Margin %</t>
  </si>
  <si>
    <t xml:space="preserve">   OMNI ROC Hours Adjustment Productivity - Margin Impact</t>
  </si>
  <si>
    <t xml:space="preserve">      Warehouse Receive</t>
  </si>
  <si>
    <t xml:space="preserve">      Warehouse Reload</t>
  </si>
  <si>
    <t xml:space="preserve">      Truck Delivery</t>
  </si>
  <si>
    <t xml:space="preserve">      Driver</t>
  </si>
  <si>
    <t xml:space="preserve">      Job Site Unload</t>
  </si>
  <si>
    <t xml:space="preserve">      Job Site Mover/ Stage</t>
  </si>
  <si>
    <t xml:space="preserve">      Install</t>
  </si>
  <si>
    <t xml:space="preserve">      Electrical</t>
  </si>
  <si>
    <r>
      <t>Other</t>
    </r>
    <r>
      <rPr>
        <b/>
        <u/>
        <sz val="8"/>
        <rFont val="Arial"/>
        <family val="2"/>
      </rPr>
      <t xml:space="preserve"> Furniture</t>
    </r>
  </si>
  <si>
    <r>
      <t>Systems</t>
    </r>
    <r>
      <rPr>
        <b/>
        <u/>
        <sz val="8"/>
        <rFont val="Arial"/>
        <family val="2"/>
      </rPr>
      <t xml:space="preserve"> Furniture</t>
    </r>
  </si>
  <si>
    <t xml:space="preserve">      Warehouse Hours</t>
  </si>
  <si>
    <t xml:space="preserve">      Delivery Hours</t>
  </si>
  <si>
    <t xml:space="preserve">      Install Hours</t>
  </si>
  <si>
    <t xml:space="preserve"> Workstation Count</t>
  </si>
  <si>
    <t xml:space="preserve"> Beltline Power? (Y or N)</t>
  </si>
  <si>
    <t>Other Furniture Specification:</t>
  </si>
  <si>
    <t>Systems and Configuration Specification:</t>
  </si>
  <si>
    <t xml:space="preserve"> Bill $</t>
  </si>
  <si>
    <r>
      <t xml:space="preserve"> </t>
    </r>
    <r>
      <rPr>
        <b/>
        <u/>
        <sz val="8"/>
        <rFont val="Arial"/>
        <family val="2"/>
      </rPr>
      <t>Margin $</t>
    </r>
  </si>
  <si>
    <t xml:space="preserve">   Industry Std Hours</t>
  </si>
  <si>
    <t xml:space="preserve">   Bill $ per Workstation</t>
  </si>
  <si>
    <t xml:space="preserve">   Other Furniture</t>
  </si>
  <si>
    <t>ROC Margin</t>
  </si>
  <si>
    <t xml:space="preserve">   Systems Furniture</t>
  </si>
  <si>
    <r>
      <t xml:space="preserve">ROC Std </t>
    </r>
    <r>
      <rPr>
        <b/>
        <u/>
        <sz val="10"/>
        <rFont val="Arial"/>
        <family val="2"/>
      </rPr>
      <t>Cost</t>
    </r>
  </si>
  <si>
    <r>
      <t xml:space="preserve">ROC Adjusted </t>
    </r>
    <r>
      <rPr>
        <b/>
        <u/>
        <sz val="10"/>
        <color indexed="17"/>
        <rFont val="Arial"/>
      </rPr>
      <t>Std Cost</t>
    </r>
  </si>
  <si>
    <r>
      <t xml:space="preserve">ROC </t>
    </r>
    <r>
      <rPr>
        <b/>
        <u/>
        <sz val="10"/>
        <rFont val="Arial"/>
        <family val="2"/>
      </rPr>
      <t xml:space="preserve"> Margin %</t>
    </r>
  </si>
  <si>
    <r>
      <t xml:space="preserve">ROC </t>
    </r>
    <r>
      <rPr>
        <b/>
        <u/>
        <sz val="10"/>
        <rFont val="Arial"/>
        <family val="2"/>
      </rPr>
      <t>Productivity</t>
    </r>
  </si>
  <si>
    <r>
      <t xml:space="preserve">ROC Price </t>
    </r>
    <r>
      <rPr>
        <b/>
        <u/>
        <sz val="10"/>
        <rFont val="Arial"/>
        <family val="2"/>
      </rPr>
      <t>Discount</t>
    </r>
  </si>
  <si>
    <t>Job Financial Summary:</t>
  </si>
  <si>
    <t xml:space="preserve">   Required Warehouse Square Feet</t>
  </si>
  <si>
    <t xml:space="preserve">   Required Cubic Feet</t>
  </si>
  <si>
    <t xml:space="preserve">   Required  24' Truck Count</t>
  </si>
  <si>
    <t xml:space="preserve">   OMNI ROC Std Hours</t>
  </si>
  <si>
    <t xml:space="preserve">   OMNI ROC productivity discount</t>
  </si>
  <si>
    <t xml:space="preserve">   OMNI ROC  Hours Summary by Task:</t>
  </si>
  <si>
    <t xml:space="preserve">         OMNI Hours Expectation</t>
  </si>
  <si>
    <t>Productivity Discounting</t>
  </si>
  <si>
    <t xml:space="preserve"> Financial Summary:</t>
  </si>
  <si>
    <t xml:space="preserve">   OMNI ROC Std Price</t>
  </si>
  <si>
    <t xml:space="preserve">   OMNI ROC Discounted Price </t>
  </si>
  <si>
    <t xml:space="preserve"> Operational Summary:</t>
  </si>
  <si>
    <t>Price Adjustment</t>
  </si>
  <si>
    <t xml:space="preserve"> Workstation Cluster Configuration</t>
  </si>
  <si>
    <t xml:space="preserve"> Delivery Distance ?</t>
  </si>
  <si>
    <r>
      <t xml:space="preserve">ROC Discounted </t>
    </r>
    <r>
      <rPr>
        <b/>
        <u/>
        <sz val="10"/>
        <color indexed="10"/>
        <rFont val="Arial"/>
      </rPr>
      <t>Price</t>
    </r>
  </si>
  <si>
    <r>
      <t xml:space="preserve">ROC Std </t>
    </r>
    <r>
      <rPr>
        <b/>
        <u/>
        <sz val="10"/>
        <rFont val="Arial"/>
        <family val="2"/>
      </rPr>
      <t>Price</t>
    </r>
  </si>
  <si>
    <t xml:space="preserve">      Quote Total</t>
  </si>
  <si>
    <t>Delivery Regular</t>
  </si>
  <si>
    <t>Delivery Overtime</t>
  </si>
  <si>
    <t>Installation Overtime</t>
  </si>
  <si>
    <t>Reconfigure Regular</t>
  </si>
  <si>
    <t>Reconfigure Overtime</t>
  </si>
  <si>
    <t>Hotel</t>
  </si>
  <si>
    <t>Milage</t>
  </si>
  <si>
    <t>Asset Management</t>
  </si>
  <si>
    <t>Warehouse Labor</t>
  </si>
  <si>
    <t>Custom Labor</t>
  </si>
  <si>
    <t>Panel Cleaning</t>
  </si>
  <si>
    <t>Stair Carry</t>
  </si>
  <si>
    <t>Freight</t>
  </si>
  <si>
    <t>Moving</t>
  </si>
  <si>
    <t>Storage</t>
  </si>
  <si>
    <t>Fuel Surcharge</t>
  </si>
  <si>
    <t>Comments</t>
  </si>
  <si>
    <t>Kevin correction factor 042009</t>
  </si>
  <si>
    <t>Other Specifications:</t>
  </si>
  <si>
    <t>Specify Other Items</t>
  </si>
  <si>
    <t xml:space="preserve">      Subtotal Other Services/Items</t>
  </si>
  <si>
    <t xml:space="preserve">   Other Services/Items</t>
  </si>
  <si>
    <t>Installation Regular</t>
  </si>
  <si>
    <t>DOUGHTERY &amp; CO</t>
  </si>
  <si>
    <t/>
  </si>
  <si>
    <t>90 SOUTH SEVENTH STREET</t>
  </si>
  <si>
    <t xml:space="preserve">MINNEAPOLIS </t>
  </si>
  <si>
    <t>MN</t>
  </si>
  <si>
    <t>55402</t>
  </si>
  <si>
    <t>On Site</t>
  </si>
  <si>
    <t>N/A</t>
  </si>
  <si>
    <t>QUOTE NO. 144742-1.1</t>
  </si>
  <si>
    <t>10.211.55.2:8080/ims/action/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</si>
</sst>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44" formatCode="_(&quot;$&quot;* #,##0.00_);_(&quot;$&quot;* \(#,##0.00\);_(&quot;$&quot;* &quot;-&quot;??_);_(@_)"/>
    <numFmt numFmtId="164" formatCode="_(* #,##0.0_);_(* \(#,##0.0\);_(* &quot;-&quot;??_);_(@_)"/>
    <numFmt numFmtId="165" formatCode="_(* #,##0_);_(* \(#,##0\);_(* &quot;-&quot;??_);_(@_)"/>
    <numFmt numFmtId="166" formatCode="0.0%"/>
    <numFmt numFmtId="167" formatCode="_(&quot;$&quot;* #,##0_);_(&quot;$&quot;* \(#,##0\);_(&quot;$&quot;* &quot;-&quot;??_);_(@_)"/>
  </numFmts>
  <fonts count="75" x14ac:knownFonts="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sz val="10"/>
      <color indexed="12"/>
      <name val="Arial"/>
    </font>
    <font>
      <sz val="10"/>
      <color indexed="10"/>
      <name val="Arial"/>
    </font>
    <font>
      <sz val="10"/>
      <color indexed="20"/>
      <name val="Arial"/>
    </font>
    <font>
      <sz val="10"/>
      <color indexed="17"/>
      <name val="Arial"/>
    </font>
    <font>
      <sz val="10"/>
      <color indexed="16"/>
      <name val="Arial"/>
    </font>
    <font>
      <sz val="10"/>
      <color indexed="53"/>
      <name val="Arial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sz val="10"/>
      <color indexed="10"/>
      <name val="Arial"/>
      <family val="2"/>
    </font>
    <font>
      <b/>
      <sz val="10"/>
      <color indexed="20"/>
      <name val="Arial"/>
      <family val="2"/>
    </font>
    <font>
      <b/>
      <u/>
      <sz val="12"/>
      <name val="Arial"/>
      <family val="2"/>
    </font>
    <font>
      <b/>
      <sz val="10"/>
      <color indexed="17"/>
      <name val="Arial"/>
      <family val="2"/>
    </font>
    <font>
      <b/>
      <sz val="10"/>
      <color indexed="16"/>
      <name val="Arial"/>
      <family val="2"/>
    </font>
    <font>
      <b/>
      <sz val="12"/>
      <color indexed="12"/>
      <name val="Arial"/>
      <family val="2"/>
    </font>
    <font>
      <b/>
      <u/>
      <sz val="10"/>
      <name val="Arial"/>
      <family val="2"/>
    </font>
    <font>
      <sz val="8"/>
      <color indexed="81"/>
      <name val="Tahoma"/>
    </font>
    <font>
      <b/>
      <sz val="8"/>
      <color indexed="81"/>
      <name val="Tahoma"/>
    </font>
    <font>
      <sz val="10"/>
      <color indexed="10"/>
      <name val="Arial"/>
      <family val="2"/>
    </font>
    <font>
      <b/>
      <sz val="8"/>
      <color indexed="17"/>
      <name val="Arial"/>
      <family val="2"/>
    </font>
    <font>
      <b/>
      <sz val="11"/>
      <color indexed="17"/>
      <name val="Arial"/>
      <family val="2"/>
    </font>
    <font>
      <b/>
      <sz val="10"/>
      <color indexed="48"/>
      <name val="Arial"/>
      <family val="2"/>
    </font>
    <font>
      <sz val="10"/>
      <color indexed="20"/>
      <name val="Arial"/>
      <family val="2"/>
    </font>
    <font>
      <sz val="10"/>
      <color indexed="16"/>
      <name val="Arial"/>
      <family val="2"/>
    </font>
    <font>
      <sz val="10"/>
      <color indexed="17"/>
      <name val="Arial"/>
      <family val="2"/>
    </font>
    <font>
      <b/>
      <sz val="11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u/>
      <sz val="8"/>
      <name val="Arial"/>
      <family val="2"/>
    </font>
    <font>
      <b/>
      <sz val="8"/>
      <name val="Arial"/>
    </font>
    <font>
      <b/>
      <sz val="8"/>
      <color indexed="12"/>
      <name val="Arial"/>
    </font>
    <font>
      <sz val="8"/>
      <color indexed="12"/>
      <name val="Arial"/>
    </font>
    <font>
      <b/>
      <sz val="8"/>
      <color indexed="12"/>
      <name val="Arial"/>
      <family val="2"/>
    </font>
    <font>
      <b/>
      <u/>
      <sz val="8"/>
      <color indexed="12"/>
      <name val="Arial"/>
      <family val="2"/>
    </font>
    <font>
      <b/>
      <u/>
      <sz val="8"/>
      <color indexed="10"/>
      <name val="Arial"/>
      <family val="2"/>
    </font>
    <font>
      <sz val="8"/>
      <color indexed="10"/>
      <name val="Arial"/>
      <family val="2"/>
    </font>
    <font>
      <b/>
      <sz val="8"/>
      <color indexed="20"/>
      <name val="Arial"/>
      <family val="2"/>
    </font>
    <font>
      <sz val="8"/>
      <color indexed="20"/>
      <name val="Arial"/>
      <family val="2"/>
    </font>
    <font>
      <sz val="8"/>
      <color indexed="17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</font>
    <font>
      <sz val="8"/>
      <color indexed="12"/>
      <name val="Arial"/>
      <family val="2"/>
    </font>
    <font>
      <sz val="8"/>
      <color indexed="17"/>
      <name val="Arial"/>
    </font>
    <font>
      <b/>
      <sz val="8"/>
      <color indexed="17"/>
      <name val="Arial"/>
    </font>
    <font>
      <sz val="8"/>
      <color indexed="20"/>
      <name val="Arial"/>
    </font>
    <font>
      <b/>
      <u/>
      <sz val="8"/>
      <color indexed="20"/>
      <name val="Arial"/>
    </font>
    <font>
      <b/>
      <sz val="8"/>
      <color indexed="20"/>
      <name val="Arial"/>
    </font>
    <font>
      <sz val="8"/>
      <color indexed="10"/>
      <name val="Arial"/>
    </font>
    <font>
      <b/>
      <sz val="8"/>
      <color indexed="53"/>
      <name val="Arial"/>
    </font>
    <font>
      <sz val="8"/>
      <color indexed="53"/>
      <name val="Arial"/>
    </font>
    <font>
      <b/>
      <sz val="8"/>
      <color indexed="53"/>
      <name val="Arial"/>
      <family val="2"/>
    </font>
    <font>
      <b/>
      <u/>
      <sz val="8"/>
      <color indexed="20"/>
      <name val="Arial"/>
      <family val="2"/>
    </font>
    <font>
      <b/>
      <u/>
      <sz val="8"/>
      <color indexed="17"/>
      <name val="Arial"/>
      <family val="2"/>
    </font>
    <font>
      <sz val="10"/>
      <name val="Arial"/>
    </font>
    <font>
      <b/>
      <u/>
      <sz val="10"/>
      <color indexed="12"/>
      <name val="Arial"/>
    </font>
    <font>
      <b/>
      <u/>
      <sz val="10"/>
      <color indexed="20"/>
      <name val="Arial"/>
    </font>
    <font>
      <b/>
      <u/>
      <sz val="10"/>
      <color indexed="17"/>
      <name val="Arial"/>
    </font>
    <font>
      <b/>
      <u/>
      <sz val="10"/>
      <color indexed="10"/>
      <name val="Arial"/>
    </font>
    <font>
      <b/>
      <u/>
      <sz val="10"/>
      <color indexed="19"/>
      <name val="Arial"/>
    </font>
    <font>
      <b/>
      <u/>
      <sz val="10"/>
      <color indexed="61"/>
      <name val="Arial"/>
    </font>
    <font>
      <b/>
      <sz val="10"/>
      <color indexed="19"/>
      <name val="Arial"/>
      <family val="2"/>
    </font>
    <font>
      <b/>
      <sz val="10"/>
      <color indexed="61"/>
      <name val="Arial"/>
      <family val="2"/>
    </font>
    <font>
      <b/>
      <sz val="8"/>
      <color indexed="10"/>
      <name val="Arial"/>
    </font>
    <font>
      <b/>
      <sz val="8"/>
      <color indexed="19"/>
      <name val="Arial"/>
    </font>
    <font>
      <b/>
      <sz val="8"/>
      <color indexed="61"/>
      <name val="Arial"/>
    </font>
    <font>
      <sz val="11"/>
      <name val="Arial"/>
      <family val="2"/>
    </font>
    <font>
      <sz val="8"/>
      <color indexed="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</fills>
  <borders count="4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2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8" fillId="0" borderId="0" xfId="0" applyFont="1"/>
    <xf numFmtId="165" fontId="0" fillId="0" borderId="0" xfId="1" applyNumberFormat="1" applyFont="1"/>
    <xf numFmtId="0" fontId="4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7" fillId="0" borderId="0" xfId="0" applyFont="1" applyFill="1" applyProtection="1"/>
    <xf numFmtId="0" fontId="18" fillId="0" borderId="1" xfId="0" applyFont="1" applyBorder="1"/>
    <xf numFmtId="0" fontId="0" fillId="0" borderId="2" xfId="0" applyBorder="1"/>
    <xf numFmtId="0" fontId="0" fillId="0" borderId="3" xfId="0" applyBorder="1"/>
    <xf numFmtId="0" fontId="20" fillId="0" borderId="4" xfId="0" applyFont="1" applyBorder="1"/>
    <xf numFmtId="0" fontId="0" fillId="0" borderId="0" xfId="0" applyBorder="1"/>
    <xf numFmtId="0" fontId="0" fillId="0" borderId="5" xfId="0" applyBorder="1"/>
    <xf numFmtId="0" fontId="23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7" fillId="0" borderId="0" xfId="0" applyFont="1" applyAlignment="1">
      <alignment horizontal="center" wrapText="1"/>
    </xf>
    <xf numFmtId="0" fontId="0" fillId="0" borderId="0" xfId="0" applyFill="1"/>
    <xf numFmtId="0" fontId="4" fillId="2" borderId="0" xfId="0" applyFont="1" applyFill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4" xfId="0" applyFont="1" applyBorder="1"/>
    <xf numFmtId="0" fontId="3" fillId="0" borderId="0" xfId="0" applyFont="1" applyBorder="1"/>
    <xf numFmtId="0" fontId="17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165" fontId="0" fillId="0" borderId="0" xfId="0" applyNumberFormat="1"/>
    <xf numFmtId="0" fontId="7" fillId="0" borderId="0" xfId="0" applyFont="1"/>
    <xf numFmtId="2" fontId="0" fillId="0" borderId="0" xfId="0" applyNumberFormat="1" applyBorder="1"/>
    <xf numFmtId="43" fontId="1" fillId="0" borderId="0" xfId="1" applyBorder="1"/>
    <xf numFmtId="165" fontId="1" fillId="0" borderId="0" xfId="1" applyNumberFormat="1" applyBorder="1"/>
    <xf numFmtId="2" fontId="8" fillId="0" borderId="0" xfId="0" applyNumberFormat="1" applyFont="1" applyBorder="1"/>
    <xf numFmtId="0" fontId="0" fillId="0" borderId="0" xfId="0" applyBorder="1" applyAlignment="1">
      <alignment wrapText="1"/>
    </xf>
    <xf numFmtId="0" fontId="3" fillId="0" borderId="0" xfId="0" applyFont="1" applyBorder="1" applyAlignment="1">
      <alignment horizontal="center"/>
    </xf>
    <xf numFmtId="2" fontId="18" fillId="0" borderId="0" xfId="3" applyNumberFormat="1" applyFont="1" applyBorder="1" applyAlignment="1">
      <alignment horizontal="center" textRotation="90" wrapText="1"/>
    </xf>
    <xf numFmtId="2" fontId="21" fillId="0" borderId="0" xfId="3" applyNumberFormat="1" applyFont="1" applyBorder="1" applyAlignment="1">
      <alignment horizontal="center" textRotation="90" wrapText="1"/>
    </xf>
    <xf numFmtId="2" fontId="3" fillId="0" borderId="0" xfId="3" applyNumberFormat="1" applyFont="1" applyBorder="1" applyAlignment="1">
      <alignment horizontal="center" textRotation="90" wrapText="1"/>
    </xf>
    <xf numFmtId="0" fontId="15" fillId="0" borderId="0" xfId="0" applyFont="1" applyBorder="1"/>
    <xf numFmtId="2" fontId="30" fillId="0" borderId="0" xfId="0" applyNumberFormat="1" applyFont="1" applyBorder="1"/>
    <xf numFmtId="2" fontId="31" fillId="0" borderId="0" xfId="0" applyNumberFormat="1" applyFont="1" applyBorder="1"/>
    <xf numFmtId="9" fontId="1" fillId="0" borderId="0" xfId="3" applyBorder="1"/>
    <xf numFmtId="0" fontId="10" fillId="0" borderId="0" xfId="0" applyFont="1" applyBorder="1"/>
    <xf numFmtId="0" fontId="9" fillId="0" borderId="0" xfId="0" applyFont="1" applyBorder="1"/>
    <xf numFmtId="0" fontId="12" fillId="0" borderId="0" xfId="0" applyFont="1" applyBorder="1"/>
    <xf numFmtId="0" fontId="8" fillId="0" borderId="0" xfId="0" applyFont="1" applyBorder="1"/>
    <xf numFmtId="0" fontId="11" fillId="0" borderId="0" xfId="0" applyFont="1" applyBorder="1"/>
    <xf numFmtId="9" fontId="0" fillId="0" borderId="0" xfId="0" applyNumberFormat="1" applyBorder="1"/>
    <xf numFmtId="0" fontId="6" fillId="0" borderId="0" xfId="0" applyFont="1" applyBorder="1"/>
    <xf numFmtId="1" fontId="0" fillId="0" borderId="0" xfId="0" applyNumberFormat="1" applyBorder="1"/>
    <xf numFmtId="2" fontId="9" fillId="0" borderId="0" xfId="3" applyNumberFormat="1" applyFont="1" applyBorder="1"/>
    <xf numFmtId="2" fontId="10" fillId="0" borderId="0" xfId="3" applyNumberFormat="1" applyFont="1" applyBorder="1"/>
    <xf numFmtId="2" fontId="1" fillId="0" borderId="0" xfId="3" applyNumberFormat="1" applyFont="1" applyBorder="1"/>
    <xf numFmtId="0" fontId="0" fillId="0" borderId="0" xfId="0" applyFill="1" applyBorder="1"/>
    <xf numFmtId="0" fontId="0" fillId="4" borderId="0" xfId="0" applyFill="1" applyBorder="1"/>
    <xf numFmtId="1" fontId="0" fillId="4" borderId="0" xfId="0" applyNumberFormat="1" applyFill="1" applyBorder="1"/>
    <xf numFmtId="2" fontId="20" fillId="0" borderId="0" xfId="3" applyNumberFormat="1" applyFont="1" applyBorder="1" applyAlignment="1">
      <alignment horizontal="center" textRotation="90" wrapText="1"/>
    </xf>
    <xf numFmtId="2" fontId="32" fillId="0" borderId="0" xfId="0" applyNumberFormat="1" applyFont="1" applyBorder="1"/>
    <xf numFmtId="2" fontId="32" fillId="0" borderId="0" xfId="3" applyNumberFormat="1" applyFont="1" applyBorder="1"/>
    <xf numFmtId="2" fontId="17" fillId="0" borderId="0" xfId="3" applyNumberFormat="1" applyFont="1" applyBorder="1" applyAlignment="1">
      <alignment horizontal="center" textRotation="90" wrapText="1"/>
    </xf>
    <xf numFmtId="2" fontId="26" fillId="0" borderId="0" xfId="3" applyNumberFormat="1" applyFont="1" applyBorder="1"/>
    <xf numFmtId="2" fontId="4" fillId="0" borderId="0" xfId="3" applyNumberFormat="1" applyFont="1" applyFill="1" applyBorder="1" applyAlignment="1">
      <alignment horizontal="center" textRotation="90" wrapText="1"/>
    </xf>
    <xf numFmtId="2" fontId="5" fillId="0" borderId="0" xfId="0" applyNumberFormat="1" applyFont="1" applyBorder="1"/>
    <xf numFmtId="2" fontId="5" fillId="0" borderId="0" xfId="3" applyNumberFormat="1" applyFont="1" applyBorder="1"/>
    <xf numFmtId="2" fontId="5" fillId="4" borderId="0" xfId="3" applyNumberFormat="1" applyFont="1" applyFill="1" applyBorder="1"/>
    <xf numFmtId="2" fontId="5" fillId="4" borderId="0" xfId="0" applyNumberFormat="1" applyFont="1" applyFill="1" applyBorder="1"/>
    <xf numFmtId="0" fontId="0" fillId="3" borderId="0" xfId="0" applyFill="1" applyBorder="1"/>
    <xf numFmtId="2" fontId="5" fillId="3" borderId="0" xfId="3" applyNumberFormat="1" applyFont="1" applyFill="1" applyBorder="1"/>
    <xf numFmtId="2" fontId="1" fillId="0" borderId="0" xfId="0" applyNumberFormat="1" applyFont="1" applyBorder="1"/>
    <xf numFmtId="2" fontId="10" fillId="0" borderId="0" xfId="0" applyNumberFormat="1" applyFont="1" applyBorder="1"/>
    <xf numFmtId="43" fontId="20" fillId="0" borderId="0" xfId="1" applyFont="1" applyBorder="1"/>
    <xf numFmtId="43" fontId="8" fillId="0" borderId="0" xfId="1" applyFont="1" applyBorder="1"/>
    <xf numFmtId="0" fontId="17" fillId="2" borderId="4" xfId="0" quotePrefix="1" applyFont="1" applyFill="1" applyBorder="1" applyAlignment="1">
      <alignment horizontal="center"/>
    </xf>
    <xf numFmtId="0" fontId="18" fillId="0" borderId="0" xfId="0" applyFont="1" applyAlignment="1">
      <alignment horizontal="center" wrapText="1"/>
    </xf>
    <xf numFmtId="165" fontId="26" fillId="0" borderId="0" xfId="1" applyNumberFormat="1" applyFont="1"/>
    <xf numFmtId="0" fontId="20" fillId="0" borderId="0" xfId="0" applyFont="1" applyAlignment="1">
      <alignment horizontal="center" wrapText="1"/>
    </xf>
    <xf numFmtId="165" fontId="32" fillId="0" borderId="0" xfId="1" applyNumberFormat="1" applyFont="1"/>
    <xf numFmtId="0" fontId="17" fillId="5" borderId="4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17" fillId="5" borderId="8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3" fillId="0" borderId="7" xfId="0" applyFont="1" applyBorder="1"/>
    <xf numFmtId="0" fontId="4" fillId="0" borderId="5" xfId="0" applyFont="1" applyBorder="1" applyAlignment="1">
      <alignment horizontal="center"/>
    </xf>
    <xf numFmtId="0" fontId="4" fillId="0" borderId="0" xfId="0" quotePrefix="1" applyFont="1" applyBorder="1"/>
    <xf numFmtId="165" fontId="15" fillId="0" borderId="0" xfId="1" applyNumberFormat="1" applyFont="1"/>
    <xf numFmtId="165" fontId="5" fillId="0" borderId="0" xfId="1" applyNumberFormat="1" applyFont="1"/>
    <xf numFmtId="165" fontId="18" fillId="0" borderId="0" xfId="1" applyNumberFormat="1" applyFont="1"/>
    <xf numFmtId="0" fontId="17" fillId="0" borderId="2" xfId="0" applyFont="1" applyBorder="1"/>
    <xf numFmtId="0" fontId="0" fillId="0" borderId="9" xfId="0" applyBorder="1"/>
    <xf numFmtId="0" fontId="0" fillId="0" borderId="10" xfId="0" applyBorder="1"/>
    <xf numFmtId="0" fontId="3" fillId="0" borderId="10" xfId="0" applyFont="1" applyBorder="1" applyAlignment="1">
      <alignment horizontal="center" textRotation="90"/>
    </xf>
    <xf numFmtId="0" fontId="0" fillId="0" borderId="10" xfId="0" applyBorder="1" applyAlignment="1">
      <alignment horizontal="center"/>
    </xf>
    <xf numFmtId="0" fontId="0" fillId="0" borderId="11" xfId="0" applyBorder="1"/>
    <xf numFmtId="43" fontId="7" fillId="0" borderId="0" xfId="1" applyFont="1" applyAlignment="1">
      <alignment horizontal="center"/>
    </xf>
    <xf numFmtId="0" fontId="26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13" fillId="0" borderId="0" xfId="0" applyFont="1" applyProtection="1">
      <protection hidden="1"/>
    </xf>
    <xf numFmtId="0" fontId="0" fillId="0" borderId="0" xfId="0" applyProtection="1">
      <protection hidden="1"/>
    </xf>
    <xf numFmtId="0" fontId="1" fillId="0" borderId="0" xfId="0" applyFont="1" applyFill="1" applyProtection="1">
      <protection hidden="1"/>
    </xf>
    <xf numFmtId="0" fontId="0" fillId="0" borderId="0" xfId="0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2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 wrapText="1"/>
      <protection hidden="1"/>
    </xf>
    <xf numFmtId="0" fontId="0" fillId="6" borderId="0" xfId="0" applyFill="1" applyAlignment="1" applyProtection="1">
      <alignment horizontal="center" wrapText="1"/>
      <protection hidden="1"/>
    </xf>
    <xf numFmtId="0" fontId="0" fillId="0" borderId="0" xfId="0" applyFill="1" applyAlignment="1" applyProtection="1">
      <alignment horizontal="center" wrapText="1"/>
      <protection hidden="1"/>
    </xf>
    <xf numFmtId="0" fontId="1" fillId="0" borderId="0" xfId="0" applyFont="1" applyProtection="1">
      <protection hidden="1"/>
    </xf>
    <xf numFmtId="0" fontId="1" fillId="0" borderId="0" xfId="0" applyFont="1" applyBorder="1" applyProtection="1">
      <protection hidden="1"/>
    </xf>
    <xf numFmtId="164" fontId="1" fillId="0" borderId="0" xfId="1" applyNumberFormat="1" applyFont="1" applyAlignment="1" applyProtection="1">
      <alignment horizontal="right" wrapText="1"/>
      <protection hidden="1"/>
    </xf>
    <xf numFmtId="0" fontId="1" fillId="0" borderId="0" xfId="0" applyFont="1" applyAlignment="1" applyProtection="1">
      <alignment horizontal="center" wrapText="1"/>
      <protection hidden="1"/>
    </xf>
    <xf numFmtId="164" fontId="1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0" fontId="1" fillId="3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164" fontId="3" fillId="0" borderId="12" xfId="0" applyNumberFormat="1" applyFont="1" applyBorder="1" applyProtection="1">
      <protection hidden="1"/>
    </xf>
    <xf numFmtId="164" fontId="1" fillId="0" borderId="0" xfId="1" applyNumberFormat="1" applyAlignment="1" applyProtection="1">
      <alignment horizontal="right" wrapText="1"/>
      <protection hidden="1"/>
    </xf>
    <xf numFmtId="43" fontId="0" fillId="0" borderId="0" xfId="0" applyNumberFormat="1" applyProtection="1">
      <protection hidden="1"/>
    </xf>
    <xf numFmtId="0" fontId="19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3" fillId="0" borderId="13" xfId="0" applyFont="1" applyBorder="1" applyAlignment="1" applyProtection="1">
      <alignment horizontal="center" wrapText="1"/>
      <protection hidden="1"/>
    </xf>
    <xf numFmtId="0" fontId="14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28" fillId="0" borderId="0" xfId="0" applyFont="1" applyProtection="1">
      <protection hidden="1"/>
    </xf>
    <xf numFmtId="0" fontId="27" fillId="2" borderId="0" xfId="0" applyFont="1" applyFill="1" applyProtection="1">
      <protection hidden="1"/>
    </xf>
    <xf numFmtId="0" fontId="3" fillId="0" borderId="0" xfId="0" applyFont="1" applyBorder="1" applyAlignment="1" applyProtection="1">
      <protection hidden="1"/>
    </xf>
    <xf numFmtId="0" fontId="3" fillId="0" borderId="14" xfId="0" applyFont="1" applyBorder="1" applyAlignment="1" applyProtection="1">
      <alignment horizontal="center" wrapText="1"/>
      <protection hidden="1"/>
    </xf>
    <xf numFmtId="0" fontId="3" fillId="0" borderId="14" xfId="0" applyFont="1" applyFill="1" applyBorder="1" applyAlignment="1" applyProtection="1">
      <alignment horizontal="center" wrapText="1"/>
      <protection hidden="1"/>
    </xf>
    <xf numFmtId="0" fontId="17" fillId="0" borderId="14" xfId="0" applyFont="1" applyBorder="1" applyAlignment="1" applyProtection="1">
      <alignment horizontal="center" wrapText="1"/>
      <protection hidden="1"/>
    </xf>
    <xf numFmtId="0" fontId="20" fillId="0" borderId="14" xfId="0" applyFont="1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left"/>
      <protection hidden="1"/>
    </xf>
    <xf numFmtId="0" fontId="4" fillId="2" borderId="0" xfId="0" applyFont="1" applyFill="1" applyProtection="1">
      <protection hidden="1"/>
    </xf>
    <xf numFmtId="165" fontId="15" fillId="0" borderId="0" xfId="1" applyNumberFormat="1" applyFont="1" applyFill="1" applyProtection="1">
      <protection hidden="1"/>
    </xf>
    <xf numFmtId="165" fontId="3" fillId="0" borderId="0" xfId="1" applyNumberFormat="1" applyFont="1" applyFill="1" applyProtection="1">
      <protection hidden="1"/>
    </xf>
    <xf numFmtId="164" fontId="3" fillId="0" borderId="0" xfId="1" applyNumberFormat="1" applyFont="1" applyFill="1" applyProtection="1">
      <protection hidden="1"/>
    </xf>
    <xf numFmtId="164" fontId="0" fillId="0" borderId="0" xfId="0" applyNumberFormat="1" applyProtection="1">
      <protection hidden="1"/>
    </xf>
    <xf numFmtId="164" fontId="15" fillId="0" borderId="0" xfId="1" applyNumberFormat="1" applyFont="1" applyProtection="1">
      <protection hidden="1"/>
    </xf>
    <xf numFmtId="164" fontId="26" fillId="0" borderId="0" xfId="1" applyNumberFormat="1" applyFont="1" applyAlignment="1" applyProtection="1">
      <protection hidden="1"/>
    </xf>
    <xf numFmtId="165" fontId="3" fillId="4" borderId="15" xfId="1" applyNumberFormat="1" applyFont="1" applyFill="1" applyBorder="1" applyProtection="1">
      <protection hidden="1"/>
    </xf>
    <xf numFmtId="164" fontId="3" fillId="4" borderId="15" xfId="1" applyNumberFormat="1" applyFont="1" applyFill="1" applyBorder="1" applyProtection="1">
      <protection hidden="1"/>
    </xf>
    <xf numFmtId="0" fontId="15" fillId="0" borderId="0" xfId="0" applyFont="1" applyProtection="1">
      <protection hidden="1"/>
    </xf>
    <xf numFmtId="43" fontId="3" fillId="0" borderId="0" xfId="1" applyFont="1" applyProtection="1">
      <protection hidden="1"/>
    </xf>
    <xf numFmtId="43" fontId="0" fillId="0" borderId="0" xfId="1" applyFont="1" applyProtection="1">
      <protection hidden="1"/>
    </xf>
    <xf numFmtId="165" fontId="4" fillId="2" borderId="0" xfId="1" applyNumberFormat="1" applyFont="1" applyFill="1" applyProtection="1">
      <protection hidden="1"/>
    </xf>
    <xf numFmtId="165" fontId="3" fillId="0" borderId="0" xfId="0" applyNumberFormat="1" applyFont="1" applyProtection="1">
      <protection hidden="1"/>
    </xf>
    <xf numFmtId="164" fontId="3" fillId="0" borderId="0" xfId="0" applyNumberFormat="1" applyFont="1" applyProtection="1">
      <protection hidden="1"/>
    </xf>
    <xf numFmtId="164" fontId="0" fillId="0" borderId="0" xfId="1" applyNumberFormat="1" applyFont="1" applyProtection="1">
      <protection hidden="1"/>
    </xf>
    <xf numFmtId="165" fontId="3" fillId="0" borderId="0" xfId="0" applyNumberFormat="1" applyFont="1" applyBorder="1" applyProtection="1">
      <protection hidden="1"/>
    </xf>
    <xf numFmtId="164" fontId="3" fillId="0" borderId="0" xfId="0" applyNumberFormat="1" applyFont="1" applyBorder="1" applyProtection="1">
      <protection hidden="1"/>
    </xf>
    <xf numFmtId="165" fontId="3" fillId="3" borderId="12" xfId="0" applyNumberFormat="1" applyFont="1" applyFill="1" applyBorder="1" applyProtection="1">
      <protection hidden="1"/>
    </xf>
    <xf numFmtId="164" fontId="3" fillId="3" borderId="12" xfId="0" applyNumberFormat="1" applyFont="1" applyFill="1" applyBorder="1" applyProtection="1">
      <protection hidden="1"/>
    </xf>
    <xf numFmtId="0" fontId="16" fillId="0" borderId="13" xfId="0" applyFont="1" applyBorder="1" applyAlignment="1" applyProtection="1">
      <alignment horizontal="center" wrapText="1"/>
      <protection hidden="1"/>
    </xf>
    <xf numFmtId="43" fontId="4" fillId="2" borderId="0" xfId="1" applyNumberFormat="1" applyFont="1" applyFill="1" applyProtection="1">
      <protection hidden="1"/>
    </xf>
    <xf numFmtId="0" fontId="4" fillId="0" borderId="0" xfId="0" applyFont="1" applyFill="1" applyAlignment="1" applyProtection="1">
      <alignment horizontal="center"/>
      <protection hidden="1"/>
    </xf>
    <xf numFmtId="0" fontId="23" fillId="0" borderId="16" xfId="0" applyFont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165" fontId="3" fillId="0" borderId="16" xfId="0" applyNumberFormat="1" applyFont="1" applyBorder="1" applyAlignment="1" applyProtection="1">
      <alignment horizontal="center" wrapText="1"/>
      <protection hidden="1"/>
    </xf>
    <xf numFmtId="0" fontId="15" fillId="2" borderId="0" xfId="0" applyFont="1" applyFill="1" applyProtection="1">
      <protection hidden="1"/>
    </xf>
    <xf numFmtId="165" fontId="3" fillId="0" borderId="0" xfId="0" applyNumberFormat="1" applyFont="1" applyBorder="1" applyAlignment="1" applyProtection="1">
      <alignment horizontal="center" wrapText="1"/>
      <protection hidden="1"/>
    </xf>
    <xf numFmtId="0" fontId="0" fillId="2" borderId="0" xfId="0" applyFill="1" applyAlignment="1" applyProtection="1">
      <alignment horizontal="center"/>
      <protection hidden="1"/>
    </xf>
    <xf numFmtId="165" fontId="1" fillId="2" borderId="0" xfId="1" applyNumberFormat="1" applyFont="1" applyFill="1" applyAlignment="1" applyProtection="1">
      <alignment horizontal="right" wrapText="1"/>
      <protection hidden="1"/>
    </xf>
    <xf numFmtId="165" fontId="1" fillId="0" borderId="0" xfId="1" applyNumberFormat="1" applyFont="1" applyAlignment="1" applyProtection="1">
      <alignment horizontal="right" wrapText="1"/>
      <protection hidden="1"/>
    </xf>
    <xf numFmtId="165" fontId="1" fillId="0" borderId="16" xfId="0" applyNumberFormat="1" applyFont="1" applyBorder="1" applyAlignment="1" applyProtection="1">
      <alignment horizontal="center" wrapText="1"/>
      <protection hidden="1"/>
    </xf>
    <xf numFmtId="0" fontId="7" fillId="0" borderId="0" xfId="0" applyFont="1" applyProtection="1">
      <protection hidden="1"/>
    </xf>
    <xf numFmtId="165" fontId="7" fillId="0" borderId="0" xfId="1" applyNumberFormat="1" applyFont="1" applyAlignment="1" applyProtection="1">
      <alignment horizontal="right" wrapText="1"/>
      <protection hidden="1"/>
    </xf>
    <xf numFmtId="0" fontId="7" fillId="0" borderId="0" xfId="0" applyFont="1" applyAlignment="1" applyProtection="1">
      <alignment horizontal="right"/>
      <protection hidden="1"/>
    </xf>
    <xf numFmtId="165" fontId="7" fillId="0" borderId="0" xfId="1" applyNumberFormat="1" applyFont="1" applyProtection="1">
      <protection hidden="1"/>
    </xf>
    <xf numFmtId="165" fontId="7" fillId="0" borderId="0" xfId="0" applyNumberFormat="1" applyFont="1" applyProtection="1">
      <protection hidden="1"/>
    </xf>
    <xf numFmtId="0" fontId="7" fillId="3" borderId="0" xfId="0" applyFont="1" applyFill="1" applyProtection="1">
      <protection hidden="1"/>
    </xf>
    <xf numFmtId="9" fontId="7" fillId="3" borderId="0" xfId="3" applyFont="1" applyFill="1" applyProtection="1">
      <protection hidden="1"/>
    </xf>
    <xf numFmtId="165" fontId="1" fillId="3" borderId="0" xfId="1" applyNumberFormat="1" applyFont="1" applyFill="1" applyAlignment="1" applyProtection="1">
      <alignment horizontal="right" wrapText="1"/>
      <protection hidden="1"/>
    </xf>
    <xf numFmtId="0" fontId="2" fillId="0" borderId="0" xfId="0" applyFont="1" applyProtection="1">
      <protection hidden="1"/>
    </xf>
    <xf numFmtId="0" fontId="34" fillId="0" borderId="0" xfId="0" applyFo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Fill="1" applyProtection="1">
      <protection hidden="1"/>
    </xf>
    <xf numFmtId="0" fontId="10" fillId="0" borderId="0" xfId="0" applyFont="1"/>
    <xf numFmtId="0" fontId="7" fillId="0" borderId="0" xfId="0" applyFont="1" applyFill="1" applyAlignment="1" applyProtection="1">
      <alignment horizontal="center" wrapText="1"/>
      <protection hidden="1"/>
    </xf>
    <xf numFmtId="164" fontId="48" fillId="0" borderId="12" xfId="0" applyNumberFormat="1" applyFont="1" applyBorder="1" applyProtection="1">
      <protection hidden="1"/>
    </xf>
    <xf numFmtId="44" fontId="7" fillId="0" borderId="0" xfId="2" applyFont="1"/>
    <xf numFmtId="44" fontId="7" fillId="2" borderId="0" xfId="2" applyFont="1" applyFill="1"/>
    <xf numFmtId="44" fontId="8" fillId="0" borderId="0" xfId="2" applyFont="1"/>
    <xf numFmtId="44" fontId="8" fillId="2" borderId="0" xfId="2" applyFont="1" applyFill="1"/>
    <xf numFmtId="0" fontId="34" fillId="0" borderId="0" xfId="0" applyFont="1" applyAlignment="1" applyProtection="1">
      <alignment horizontal="left"/>
      <protection hidden="1"/>
    </xf>
    <xf numFmtId="0" fontId="2" fillId="0" borderId="17" xfId="0" applyFont="1" applyBorder="1" applyProtection="1">
      <protection hidden="1"/>
    </xf>
    <xf numFmtId="0" fontId="2" fillId="0" borderId="18" xfId="0" applyFont="1" applyBorder="1" applyProtection="1">
      <protection hidden="1"/>
    </xf>
    <xf numFmtId="0" fontId="2" fillId="0" borderId="19" xfId="0" applyFont="1" applyBorder="1" applyProtection="1">
      <protection hidden="1"/>
    </xf>
    <xf numFmtId="0" fontId="52" fillId="0" borderId="0" xfId="0" applyFont="1" applyProtection="1">
      <protection hidden="1"/>
    </xf>
    <xf numFmtId="0" fontId="52" fillId="0" borderId="0" xfId="0" applyFont="1" applyAlignment="1" applyProtection="1">
      <protection hidden="1"/>
    </xf>
    <xf numFmtId="0" fontId="49" fillId="0" borderId="0" xfId="0" applyFont="1" applyProtection="1">
      <protection hidden="1"/>
    </xf>
    <xf numFmtId="0" fontId="49" fillId="0" borderId="0" xfId="0" applyFont="1" applyAlignment="1" applyProtection="1">
      <protection hidden="1"/>
    </xf>
    <xf numFmtId="0" fontId="2" fillId="7" borderId="0" xfId="0" applyFont="1" applyFill="1" applyBorder="1" applyProtection="1">
      <protection hidden="1"/>
    </xf>
    <xf numFmtId="0" fontId="2" fillId="7" borderId="0" xfId="0" applyFont="1" applyFill="1" applyProtection="1">
      <protection hidden="1"/>
    </xf>
    <xf numFmtId="0" fontId="43" fillId="0" borderId="0" xfId="0" applyFont="1" applyBorder="1" applyProtection="1">
      <protection hidden="1"/>
    </xf>
    <xf numFmtId="164" fontId="52" fillId="0" borderId="10" xfId="1" applyNumberFormat="1" applyFont="1" applyBorder="1" applyProtection="1">
      <protection hidden="1"/>
    </xf>
    <xf numFmtId="164" fontId="50" fillId="0" borderId="10" xfId="1" applyNumberFormat="1" applyFont="1" applyBorder="1" applyProtection="1">
      <protection hidden="1"/>
    </xf>
    <xf numFmtId="0" fontId="2" fillId="0" borderId="10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7" xfId="0" applyFont="1" applyBorder="1" applyProtection="1">
      <protection hidden="1"/>
    </xf>
    <xf numFmtId="0" fontId="36" fillId="0" borderId="9" xfId="0" applyFont="1" applyBorder="1" applyAlignment="1" applyProtection="1">
      <alignment horizontal="center"/>
      <protection hidden="1"/>
    </xf>
    <xf numFmtId="164" fontId="2" fillId="0" borderId="10" xfId="1" applyNumberFormat="1" applyFont="1" applyBorder="1" applyProtection="1">
      <protection hidden="1"/>
    </xf>
    <xf numFmtId="165" fontId="2" fillId="0" borderId="10" xfId="1" applyNumberFormat="1" applyFont="1" applyBorder="1" applyProtection="1">
      <protection hidden="1"/>
    </xf>
    <xf numFmtId="0" fontId="34" fillId="0" borderId="0" xfId="0" applyFont="1" applyBorder="1" applyProtection="1">
      <protection hidden="1"/>
    </xf>
    <xf numFmtId="167" fontId="34" fillId="0" borderId="12" xfId="2" applyNumberFormat="1" applyFont="1" applyBorder="1" applyProtection="1">
      <protection hidden="1"/>
    </xf>
    <xf numFmtId="43" fontId="50" fillId="0" borderId="10" xfId="1" applyNumberFormat="1" applyFont="1" applyBorder="1" applyProtection="1">
      <protection hidden="1"/>
    </xf>
    <xf numFmtId="0" fontId="40" fillId="0" borderId="0" xfId="0" applyFont="1" applyProtection="1">
      <protection hidden="1"/>
    </xf>
    <xf numFmtId="0" fontId="44" fillId="0" borderId="0" xfId="0" applyFont="1" applyProtection="1">
      <protection hidden="1"/>
    </xf>
    <xf numFmtId="0" fontId="27" fillId="0" borderId="0" xfId="0" applyFont="1" applyProtection="1">
      <protection hidden="1"/>
    </xf>
    <xf numFmtId="166" fontId="47" fillId="0" borderId="11" xfId="3" applyNumberFormat="1" applyFont="1" applyBorder="1" applyProtection="1">
      <protection hidden="1"/>
    </xf>
    <xf numFmtId="0" fontId="46" fillId="0" borderId="0" xfId="0" applyFont="1" applyBorder="1" applyProtection="1">
      <protection hidden="1"/>
    </xf>
    <xf numFmtId="166" fontId="27" fillId="0" borderId="10" xfId="3" applyNumberFormat="1" applyFont="1" applyBorder="1" applyProtection="1">
      <protection hidden="1"/>
    </xf>
    <xf numFmtId="43" fontId="7" fillId="0" borderId="0" xfId="0" applyNumberFormat="1" applyFont="1" applyFill="1"/>
    <xf numFmtId="43" fontId="26" fillId="0" borderId="0" xfId="1" applyFont="1"/>
    <xf numFmtId="0" fontId="8" fillId="0" borderId="0" xfId="0" applyFont="1" applyFill="1" applyBorder="1"/>
    <xf numFmtId="0" fontId="23" fillId="0" borderId="0" xfId="0" applyFont="1" applyBorder="1"/>
    <xf numFmtId="43" fontId="1" fillId="0" borderId="0" xfId="1" applyProtection="1">
      <protection hidden="1"/>
    </xf>
    <xf numFmtId="164" fontId="1" fillId="0" borderId="0" xfId="1" applyNumberFormat="1" applyProtection="1">
      <protection hidden="1"/>
    </xf>
    <xf numFmtId="44" fontId="1" fillId="0" borderId="0" xfId="2" applyProtection="1">
      <protection hidden="1"/>
    </xf>
    <xf numFmtId="43" fontId="26" fillId="0" borderId="0" xfId="1" applyFont="1" applyFill="1"/>
    <xf numFmtId="0" fontId="26" fillId="0" borderId="0" xfId="0" applyFont="1" applyAlignment="1">
      <alignment horizontal="left" wrapText="1"/>
    </xf>
    <xf numFmtId="43" fontId="26" fillId="0" borderId="0" xfId="1" applyNumberFormat="1" applyFont="1" applyAlignment="1" applyProtection="1">
      <protection hidden="1"/>
    </xf>
    <xf numFmtId="0" fontId="22" fillId="0" borderId="0" xfId="0" applyFont="1" applyProtection="1">
      <protection hidden="1"/>
    </xf>
    <xf numFmtId="0" fontId="36" fillId="0" borderId="0" xfId="0" applyFont="1" applyAlignment="1" applyProtection="1">
      <alignment horizontal="center"/>
      <protection hidden="1"/>
    </xf>
    <xf numFmtId="0" fontId="42" fillId="0" borderId="20" xfId="0" applyFont="1" applyBorder="1" applyAlignment="1" applyProtection="1">
      <alignment horizontal="center"/>
      <protection hidden="1"/>
    </xf>
    <xf numFmtId="0" fontId="42" fillId="0" borderId="0" xfId="0" applyFont="1" applyAlignment="1" applyProtection="1">
      <alignment horizontal="center"/>
      <protection hidden="1"/>
    </xf>
    <xf numFmtId="0" fontId="35" fillId="0" borderId="0" xfId="0" applyFont="1" applyProtection="1">
      <protection hidden="1"/>
    </xf>
    <xf numFmtId="165" fontId="35" fillId="0" borderId="0" xfId="1" applyNumberFormat="1" applyFont="1" applyAlignment="1" applyProtection="1">
      <alignment horizontal="right"/>
      <protection hidden="1"/>
    </xf>
    <xf numFmtId="165" fontId="35" fillId="0" borderId="16" xfId="1" applyNumberFormat="1" applyFont="1" applyBorder="1" applyAlignment="1" applyProtection="1">
      <alignment horizontal="right"/>
      <protection hidden="1"/>
    </xf>
    <xf numFmtId="165" fontId="34" fillId="0" borderId="16" xfId="1" applyNumberFormat="1" applyFont="1" applyBorder="1" applyAlignment="1" applyProtection="1">
      <alignment horizontal="right"/>
      <protection hidden="1"/>
    </xf>
    <xf numFmtId="165" fontId="34" fillId="0" borderId="0" xfId="1" applyNumberFormat="1" applyFont="1" applyAlignment="1" applyProtection="1">
      <alignment horizontal="right"/>
      <protection hidden="1"/>
    </xf>
    <xf numFmtId="0" fontId="34" fillId="0" borderId="16" xfId="0" applyFont="1" applyBorder="1" applyProtection="1">
      <protection hidden="1"/>
    </xf>
    <xf numFmtId="164" fontId="2" fillId="0" borderId="0" xfId="1" applyNumberFormat="1" applyFont="1" applyProtection="1">
      <protection hidden="1"/>
    </xf>
    <xf numFmtId="164" fontId="35" fillId="0" borderId="16" xfId="1" applyNumberFormat="1" applyFont="1" applyBorder="1" applyAlignment="1" applyProtection="1">
      <alignment horizontal="right"/>
      <protection hidden="1"/>
    </xf>
    <xf numFmtId="164" fontId="35" fillId="0" borderId="0" xfId="1" applyNumberFormat="1" applyFont="1" applyProtection="1">
      <protection hidden="1"/>
    </xf>
    <xf numFmtId="164" fontId="34" fillId="0" borderId="16" xfId="1" applyNumberFormat="1" applyFont="1" applyBorder="1" applyAlignment="1" applyProtection="1">
      <alignment horizontal="right"/>
      <protection hidden="1"/>
    </xf>
    <xf numFmtId="0" fontId="39" fillId="0" borderId="0" xfId="0" applyFont="1" applyProtection="1">
      <protection hidden="1"/>
    </xf>
    <xf numFmtId="164" fontId="39" fillId="0" borderId="0" xfId="1" applyNumberFormat="1" applyFont="1" applyProtection="1">
      <protection hidden="1"/>
    </xf>
    <xf numFmtId="164" fontId="39" fillId="0" borderId="16" xfId="1" applyNumberFormat="1" applyFont="1" applyBorder="1" applyAlignment="1" applyProtection="1">
      <alignment horizontal="right"/>
      <protection hidden="1"/>
    </xf>
    <xf numFmtId="164" fontId="35" fillId="0" borderId="16" xfId="1" applyNumberFormat="1" applyFont="1" applyBorder="1" applyProtection="1">
      <protection hidden="1"/>
    </xf>
    <xf numFmtId="164" fontId="34" fillId="0" borderId="16" xfId="1" applyNumberFormat="1" applyFont="1" applyBorder="1" applyProtection="1">
      <protection hidden="1"/>
    </xf>
    <xf numFmtId="164" fontId="2" fillId="0" borderId="21" xfId="1" applyNumberFormat="1" applyFont="1" applyBorder="1" applyProtection="1">
      <protection hidden="1"/>
    </xf>
    <xf numFmtId="164" fontId="35" fillId="0" borderId="22" xfId="1" applyNumberFormat="1" applyFont="1" applyBorder="1" applyProtection="1">
      <protection hidden="1"/>
    </xf>
    <xf numFmtId="164" fontId="35" fillId="0" borderId="21" xfId="1" applyNumberFormat="1" applyFont="1" applyBorder="1" applyProtection="1">
      <protection hidden="1"/>
    </xf>
    <xf numFmtId="164" fontId="34" fillId="0" borderId="22" xfId="1" applyNumberFormat="1" applyFont="1" applyBorder="1" applyProtection="1">
      <protection hidden="1"/>
    </xf>
    <xf numFmtId="164" fontId="34" fillId="0" borderId="12" xfId="1" applyNumberFormat="1" applyFont="1" applyBorder="1" applyProtection="1">
      <protection hidden="1"/>
    </xf>
    <xf numFmtId="164" fontId="34" fillId="0" borderId="23" xfId="1" applyNumberFormat="1" applyFont="1" applyBorder="1" applyProtection="1">
      <protection hidden="1"/>
    </xf>
    <xf numFmtId="166" fontId="34" fillId="2" borderId="0" xfId="3" applyNumberFormat="1" applyFont="1" applyFill="1" applyProtection="1">
      <protection hidden="1"/>
    </xf>
    <xf numFmtId="166" fontId="34" fillId="0" borderId="16" xfId="3" applyNumberFormat="1" applyFont="1" applyBorder="1" applyAlignment="1" applyProtection="1">
      <alignment horizontal="right"/>
      <protection hidden="1"/>
    </xf>
    <xf numFmtId="164" fontId="40" fillId="0" borderId="0" xfId="1" applyNumberFormat="1" applyFont="1" applyBorder="1" applyProtection="1">
      <protection hidden="1"/>
    </xf>
    <xf numFmtId="164" fontId="40" fillId="0" borderId="16" xfId="1" applyNumberFormat="1" applyFont="1" applyBorder="1" applyProtection="1">
      <protection hidden="1"/>
    </xf>
    <xf numFmtId="164" fontId="34" fillId="0" borderId="0" xfId="1" applyNumberFormat="1" applyFont="1" applyBorder="1" applyProtection="1">
      <protection hidden="1"/>
    </xf>
    <xf numFmtId="0" fontId="34" fillId="7" borderId="0" xfId="0" applyFont="1" applyFill="1" applyProtection="1">
      <protection hidden="1"/>
    </xf>
    <xf numFmtId="165" fontId="35" fillId="7" borderId="0" xfId="1" applyNumberFormat="1" applyFont="1" applyFill="1" applyAlignment="1" applyProtection="1">
      <alignment horizontal="right"/>
      <protection hidden="1"/>
    </xf>
    <xf numFmtId="165" fontId="34" fillId="7" borderId="16" xfId="1" applyNumberFormat="1" applyFont="1" applyFill="1" applyBorder="1" applyAlignment="1" applyProtection="1">
      <alignment horizontal="right"/>
      <protection hidden="1"/>
    </xf>
    <xf numFmtId="165" fontId="34" fillId="7" borderId="0" xfId="1" applyNumberFormat="1" applyFont="1" applyFill="1" applyAlignment="1" applyProtection="1">
      <alignment horizontal="right"/>
      <protection hidden="1"/>
    </xf>
    <xf numFmtId="0" fontId="2" fillId="0" borderId="16" xfId="0" applyFont="1" applyBorder="1" applyProtection="1">
      <protection hidden="1"/>
    </xf>
    <xf numFmtId="43" fontId="2" fillId="0" borderId="16" xfId="0" applyNumberFormat="1" applyFont="1" applyBorder="1" applyProtection="1">
      <protection hidden="1"/>
    </xf>
    <xf numFmtId="44" fontId="2" fillId="0" borderId="0" xfId="2" applyFont="1" applyProtection="1">
      <protection hidden="1"/>
    </xf>
    <xf numFmtId="167" fontId="2" fillId="0" borderId="0" xfId="2" applyNumberFormat="1" applyFont="1" applyProtection="1">
      <protection hidden="1"/>
    </xf>
    <xf numFmtId="167" fontId="2" fillId="0" borderId="16" xfId="0" applyNumberFormat="1" applyFont="1" applyBorder="1" applyProtection="1">
      <protection hidden="1"/>
    </xf>
    <xf numFmtId="167" fontId="40" fillId="0" borderId="15" xfId="0" applyNumberFormat="1" applyFont="1" applyBorder="1" applyProtection="1">
      <protection hidden="1"/>
    </xf>
    <xf numFmtId="167" fontId="40" fillId="0" borderId="24" xfId="0" applyNumberFormat="1" applyFont="1" applyBorder="1" applyProtection="1">
      <protection hidden="1"/>
    </xf>
    <xf numFmtId="0" fontId="45" fillId="0" borderId="0" xfId="0" applyFont="1" applyProtection="1">
      <protection hidden="1"/>
    </xf>
    <xf numFmtId="167" fontId="44" fillId="0" borderId="15" xfId="2" applyNumberFormat="1" applyFont="1" applyBorder="1" applyProtection="1">
      <protection hidden="1"/>
    </xf>
    <xf numFmtId="167" fontId="45" fillId="0" borderId="24" xfId="0" applyNumberFormat="1" applyFont="1" applyBorder="1" applyProtection="1">
      <protection hidden="1"/>
    </xf>
    <xf numFmtId="167" fontId="44" fillId="0" borderId="24" xfId="0" applyNumberFormat="1" applyFont="1" applyBorder="1" applyProtection="1">
      <protection hidden="1"/>
    </xf>
    <xf numFmtId="44" fontId="45" fillId="0" borderId="0" xfId="2" applyFont="1" applyProtection="1">
      <protection hidden="1"/>
    </xf>
    <xf numFmtId="44" fontId="45" fillId="0" borderId="16" xfId="2" applyFont="1" applyBorder="1" applyProtection="1">
      <protection hidden="1"/>
    </xf>
    <xf numFmtId="164" fontId="2" fillId="0" borderId="0" xfId="0" applyNumberFormat="1" applyFont="1" applyProtection="1">
      <protection hidden="1"/>
    </xf>
    <xf numFmtId="0" fontId="46" fillId="0" borderId="0" xfId="0" applyFont="1" applyProtection="1">
      <protection hidden="1"/>
    </xf>
    <xf numFmtId="167" fontId="27" fillId="0" borderId="15" xfId="2" applyNumberFormat="1" applyFont="1" applyBorder="1" applyProtection="1">
      <protection hidden="1"/>
    </xf>
    <xf numFmtId="167" fontId="27" fillId="0" borderId="24" xfId="0" applyNumberFormat="1" applyFont="1" applyBorder="1" applyProtection="1">
      <protection hidden="1"/>
    </xf>
    <xf numFmtId="167" fontId="34" fillId="0" borderId="23" xfId="0" applyNumberFormat="1" applyFont="1" applyBorder="1" applyProtection="1">
      <protection hidden="1"/>
    </xf>
    <xf numFmtId="166" fontId="34" fillId="0" borderId="0" xfId="3" applyNumberFormat="1" applyFont="1" applyProtection="1">
      <protection hidden="1"/>
    </xf>
    <xf numFmtId="166" fontId="34" fillId="0" borderId="25" xfId="3" applyNumberFormat="1" applyFont="1" applyBorder="1" applyProtection="1">
      <protection hidden="1"/>
    </xf>
    <xf numFmtId="167" fontId="44" fillId="0" borderId="0" xfId="2" applyNumberFormat="1" applyFont="1" applyProtection="1">
      <protection hidden="1"/>
    </xf>
    <xf numFmtId="167" fontId="44" fillId="0" borderId="16" xfId="2" applyNumberFormat="1" applyFont="1" applyBorder="1" applyProtection="1">
      <protection hidden="1"/>
    </xf>
    <xf numFmtId="44" fontId="44" fillId="0" borderId="0" xfId="2" applyFont="1" applyProtection="1">
      <protection hidden="1"/>
    </xf>
    <xf numFmtId="44" fontId="44" fillId="0" borderId="16" xfId="2" applyFont="1" applyBorder="1" applyProtection="1">
      <protection hidden="1"/>
    </xf>
    <xf numFmtId="167" fontId="27" fillId="0" borderId="0" xfId="2" applyNumberFormat="1" applyFont="1" applyProtection="1">
      <protection hidden="1"/>
    </xf>
    <xf numFmtId="167" fontId="27" fillId="0" borderId="16" xfId="2" applyNumberFormat="1" applyFont="1" applyBorder="1" applyProtection="1">
      <protection hidden="1"/>
    </xf>
    <xf numFmtId="167" fontId="34" fillId="0" borderId="23" xfId="2" applyNumberFormat="1" applyFont="1" applyBorder="1" applyProtection="1">
      <protection hidden="1"/>
    </xf>
    <xf numFmtId="0" fontId="57" fillId="0" borderId="0" xfId="0" applyFont="1" applyBorder="1" applyProtection="1">
      <protection hidden="1"/>
    </xf>
    <xf numFmtId="164" fontId="57" fillId="0" borderId="10" xfId="1" applyNumberFormat="1" applyFont="1" applyBorder="1" applyProtection="1">
      <protection hidden="1"/>
    </xf>
    <xf numFmtId="164" fontId="58" fillId="0" borderId="10" xfId="1" applyNumberFormat="1" applyFont="1" applyBorder="1" applyAlignment="1" applyProtection="1">
      <alignment horizontal="center"/>
      <protection hidden="1"/>
    </xf>
    <xf numFmtId="164" fontId="58" fillId="0" borderId="0" xfId="1" applyNumberFormat="1" applyFont="1" applyBorder="1" applyAlignment="1" applyProtection="1">
      <alignment horizontal="center"/>
      <protection hidden="1"/>
    </xf>
    <xf numFmtId="166" fontId="27" fillId="0" borderId="0" xfId="3" applyNumberFormat="1" applyFont="1" applyBorder="1" applyProtection="1">
      <protection hidden="1"/>
    </xf>
    <xf numFmtId="166" fontId="47" fillId="0" borderId="7" xfId="3" applyNumberFormat="1" applyFont="1" applyBorder="1" applyProtection="1">
      <protection hidden="1"/>
    </xf>
    <xf numFmtId="10" fontId="0" fillId="0" borderId="0" xfId="3" applyNumberFormat="1" applyFont="1"/>
    <xf numFmtId="10" fontId="0" fillId="2" borderId="0" xfId="3" applyNumberFormat="1" applyFont="1" applyFill="1"/>
    <xf numFmtId="167" fontId="2" fillId="0" borderId="15" xfId="2" applyNumberFormat="1" applyFont="1" applyBorder="1" applyProtection="1">
      <protection hidden="1"/>
    </xf>
    <xf numFmtId="167" fontId="2" fillId="0" borderId="24" xfId="0" applyNumberFormat="1" applyFont="1" applyBorder="1" applyProtection="1">
      <protection hidden="1"/>
    </xf>
    <xf numFmtId="0" fontId="36" fillId="0" borderId="1" xfId="0" applyFont="1" applyBorder="1" applyAlignment="1" applyProtection="1">
      <alignment horizontal="center"/>
      <protection hidden="1"/>
    </xf>
    <xf numFmtId="0" fontId="36" fillId="0" borderId="3" xfId="0" applyFont="1" applyBorder="1" applyAlignment="1" applyProtection="1">
      <alignment horizontal="center"/>
      <protection hidden="1"/>
    </xf>
    <xf numFmtId="167" fontId="39" fillId="0" borderId="4" xfId="2" applyNumberFormat="1" applyFont="1" applyBorder="1" applyProtection="1">
      <protection hidden="1"/>
    </xf>
    <xf numFmtId="167" fontId="40" fillId="0" borderId="5" xfId="2" applyNumberFormat="1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34" fillId="0" borderId="5" xfId="0" applyFont="1" applyBorder="1" applyProtection="1">
      <protection hidden="1"/>
    </xf>
    <xf numFmtId="167" fontId="52" fillId="0" borderId="4" xfId="2" applyNumberFormat="1" applyFont="1" applyBorder="1" applyProtection="1">
      <protection hidden="1"/>
    </xf>
    <xf numFmtId="167" fontId="44" fillId="0" borderId="5" xfId="2" applyNumberFormat="1" applyFont="1" applyBorder="1" applyProtection="1">
      <protection hidden="1"/>
    </xf>
    <xf numFmtId="44" fontId="52" fillId="0" borderId="4" xfId="2" applyNumberFormat="1" applyFont="1" applyBorder="1" applyProtection="1">
      <protection hidden="1"/>
    </xf>
    <xf numFmtId="44" fontId="44" fillId="0" borderId="5" xfId="2" applyNumberFormat="1" applyFont="1" applyBorder="1" applyProtection="1">
      <protection hidden="1"/>
    </xf>
    <xf numFmtId="167" fontId="50" fillId="0" borderId="4" xfId="2" applyNumberFormat="1" applyFont="1" applyBorder="1" applyProtection="1">
      <protection hidden="1"/>
    </xf>
    <xf numFmtId="167" fontId="27" fillId="0" borderId="5" xfId="2" applyNumberFormat="1" applyFont="1" applyBorder="1" applyProtection="1">
      <protection hidden="1"/>
    </xf>
    <xf numFmtId="167" fontId="2" fillId="0" borderId="26" xfId="2" applyNumberFormat="1" applyFont="1" applyBorder="1" applyProtection="1">
      <protection hidden="1"/>
    </xf>
    <xf numFmtId="167" fontId="34" fillId="0" borderId="27" xfId="2" applyNumberFormat="1" applyFont="1" applyBorder="1" applyProtection="1">
      <protection hidden="1"/>
    </xf>
    <xf numFmtId="166" fontId="2" fillId="0" borderId="4" xfId="3" applyNumberFormat="1" applyFont="1" applyBorder="1" applyProtection="1">
      <protection hidden="1"/>
    </xf>
    <xf numFmtId="166" fontId="34" fillId="0" borderId="5" xfId="3" applyNumberFormat="1" applyFont="1" applyBorder="1" applyProtection="1">
      <protection hidden="1"/>
    </xf>
    <xf numFmtId="166" fontId="2" fillId="0" borderId="5" xfId="3" applyNumberFormat="1" applyFont="1" applyBorder="1" applyProtection="1">
      <protection hidden="1"/>
    </xf>
    <xf numFmtId="167" fontId="43" fillId="0" borderId="4" xfId="2" applyNumberFormat="1" applyFont="1" applyBorder="1" applyProtection="1">
      <protection hidden="1"/>
    </xf>
    <xf numFmtId="167" fontId="55" fillId="0" borderId="5" xfId="2" applyNumberFormat="1" applyFont="1" applyBorder="1" applyProtection="1">
      <protection hidden="1"/>
    </xf>
    <xf numFmtId="167" fontId="50" fillId="0" borderId="8" xfId="2" applyNumberFormat="1" applyFont="1" applyBorder="1" applyProtection="1">
      <protection hidden="1"/>
    </xf>
    <xf numFmtId="167" fontId="50" fillId="0" borderId="6" xfId="2" applyNumberFormat="1" applyFont="1" applyBorder="1" applyProtection="1">
      <protection hidden="1"/>
    </xf>
    <xf numFmtId="167" fontId="40" fillId="0" borderId="4" xfId="2" applyNumberFormat="1" applyFont="1" applyBorder="1" applyProtection="1">
      <protection hidden="1"/>
    </xf>
    <xf numFmtId="0" fontId="34" fillId="0" borderId="4" xfId="0" applyFont="1" applyBorder="1" applyProtection="1">
      <protection hidden="1"/>
    </xf>
    <xf numFmtId="167" fontId="44" fillId="0" borderId="4" xfId="2" applyNumberFormat="1" applyFont="1" applyBorder="1" applyProtection="1">
      <protection hidden="1"/>
    </xf>
    <xf numFmtId="44" fontId="44" fillId="0" borderId="4" xfId="2" applyNumberFormat="1" applyFont="1" applyBorder="1" applyProtection="1">
      <protection hidden="1"/>
    </xf>
    <xf numFmtId="167" fontId="27" fillId="0" borderId="4" xfId="2" applyNumberFormat="1" applyFont="1" applyBorder="1" applyProtection="1">
      <protection hidden="1"/>
    </xf>
    <xf numFmtId="167" fontId="34" fillId="0" borderId="26" xfId="2" applyNumberFormat="1" applyFont="1" applyBorder="1" applyProtection="1">
      <protection hidden="1"/>
    </xf>
    <xf numFmtId="166" fontId="34" fillId="0" borderId="4" xfId="3" applyNumberFormat="1" applyFont="1" applyBorder="1" applyProtection="1">
      <protection hidden="1"/>
    </xf>
    <xf numFmtId="167" fontId="43" fillId="0" borderId="5" xfId="2" applyNumberFormat="1" applyFont="1" applyBorder="1" applyProtection="1">
      <protection hidden="1"/>
    </xf>
    <xf numFmtId="167" fontId="39" fillId="0" borderId="10" xfId="2" applyNumberFormat="1" applyFont="1" applyBorder="1" applyProtection="1">
      <protection hidden="1"/>
    </xf>
    <xf numFmtId="167" fontId="52" fillId="0" borderId="10" xfId="2" applyNumberFormat="1" applyFont="1" applyBorder="1" applyProtection="1">
      <protection hidden="1"/>
    </xf>
    <xf numFmtId="44" fontId="52" fillId="0" borderId="10" xfId="2" applyNumberFormat="1" applyFont="1" applyBorder="1" applyProtection="1">
      <protection hidden="1"/>
    </xf>
    <xf numFmtId="167" fontId="50" fillId="0" borderId="10" xfId="2" applyNumberFormat="1" applyFont="1" applyBorder="1" applyProtection="1">
      <protection hidden="1"/>
    </xf>
    <xf numFmtId="167" fontId="2" fillId="0" borderId="28" xfId="2" applyNumberFormat="1" applyFont="1" applyBorder="1" applyProtection="1">
      <protection hidden="1"/>
    </xf>
    <xf numFmtId="166" fontId="2" fillId="0" borderId="10" xfId="3" applyNumberFormat="1" applyFont="1" applyBorder="1" applyProtection="1">
      <protection hidden="1"/>
    </xf>
    <xf numFmtId="167" fontId="43" fillId="0" borderId="10" xfId="2" applyNumberFormat="1" applyFont="1" applyBorder="1" applyProtection="1">
      <protection hidden="1"/>
    </xf>
    <xf numFmtId="167" fontId="50" fillId="0" borderId="11" xfId="2" applyNumberFormat="1" applyFont="1" applyBorder="1" applyProtection="1">
      <protection hidden="1"/>
    </xf>
    <xf numFmtId="167" fontId="2" fillId="3" borderId="16" xfId="0" applyNumberFormat="1" applyFont="1" applyFill="1" applyBorder="1" applyProtection="1">
      <protection hidden="1"/>
    </xf>
    <xf numFmtId="167" fontId="40" fillId="3" borderId="24" xfId="0" applyNumberFormat="1" applyFont="1" applyFill="1" applyBorder="1" applyProtection="1">
      <protection hidden="1"/>
    </xf>
    <xf numFmtId="167" fontId="27" fillId="3" borderId="24" xfId="0" applyNumberFormat="1" applyFont="1" applyFill="1" applyBorder="1" applyProtection="1">
      <protection hidden="1"/>
    </xf>
    <xf numFmtId="164" fontId="34" fillId="3" borderId="0" xfId="1" applyNumberFormat="1" applyFont="1" applyFill="1" applyBorder="1" applyAlignment="1" applyProtection="1">
      <alignment horizontal="right"/>
      <protection hidden="1"/>
    </xf>
    <xf numFmtId="164" fontId="34" fillId="3" borderId="0" xfId="1" applyNumberFormat="1" applyFont="1" applyFill="1" applyBorder="1" applyProtection="1">
      <protection hidden="1"/>
    </xf>
    <xf numFmtId="167" fontId="2" fillId="3" borderId="24" xfId="0" applyNumberFormat="1" applyFont="1" applyFill="1" applyBorder="1" applyProtection="1">
      <protection hidden="1"/>
    </xf>
    <xf numFmtId="165" fontId="34" fillId="3" borderId="16" xfId="1" applyNumberFormat="1" applyFont="1" applyFill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166" fontId="46" fillId="8" borderId="10" xfId="3" applyNumberFormat="1" applyFont="1" applyFill="1" applyBorder="1" applyProtection="1">
      <protection locked="0"/>
    </xf>
    <xf numFmtId="166" fontId="43" fillId="8" borderId="11" xfId="3" applyNumberFormat="1" applyFont="1" applyFill="1" applyBorder="1" applyProtection="1">
      <protection locked="0"/>
    </xf>
    <xf numFmtId="166" fontId="43" fillId="8" borderId="7" xfId="3" applyNumberFormat="1" applyFont="1" applyFill="1" applyBorder="1" applyProtection="1">
      <protection locked="0"/>
    </xf>
    <xf numFmtId="167" fontId="44" fillId="0" borderId="5" xfId="2" applyNumberFormat="1" applyFont="1" applyFill="1" applyBorder="1" applyProtection="1">
      <protection hidden="1"/>
    </xf>
    <xf numFmtId="44" fontId="44" fillId="0" borderId="5" xfId="2" applyNumberFormat="1" applyFont="1" applyFill="1" applyBorder="1" applyProtection="1">
      <protection hidden="1"/>
    </xf>
    <xf numFmtId="0" fontId="2" fillId="0" borderId="3" xfId="0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54" fillId="0" borderId="4" xfId="0" applyFont="1" applyBorder="1" applyAlignment="1" applyProtection="1">
      <alignment horizontal="left"/>
      <protection hidden="1"/>
    </xf>
    <xf numFmtId="0" fontId="56" fillId="0" borderId="4" xfId="0" applyFont="1" applyBorder="1" applyAlignment="1" applyProtection="1">
      <alignment horizontal="left"/>
      <protection hidden="1"/>
    </xf>
    <xf numFmtId="0" fontId="27" fillId="0" borderId="4" xfId="0" applyFont="1" applyBorder="1" applyProtection="1">
      <protection hidden="1"/>
    </xf>
    <xf numFmtId="0" fontId="51" fillId="0" borderId="4" xfId="0" applyFont="1" applyBorder="1" applyAlignment="1" applyProtection="1">
      <alignment horizontal="left"/>
      <protection hidden="1"/>
    </xf>
    <xf numFmtId="0" fontId="47" fillId="0" borderId="8" xfId="0" applyFont="1" applyBorder="1" applyProtection="1">
      <protection hidden="1"/>
    </xf>
    <xf numFmtId="0" fontId="40" fillId="0" borderId="4" xfId="0" applyFont="1" applyBorder="1" applyProtection="1">
      <protection hidden="1"/>
    </xf>
    <xf numFmtId="0" fontId="44" fillId="0" borderId="4" xfId="0" applyFont="1" applyBorder="1" applyProtection="1">
      <protection hidden="1"/>
    </xf>
    <xf numFmtId="0" fontId="47" fillId="0" borderId="4" xfId="0" applyFont="1" applyBorder="1" applyProtection="1">
      <protection hidden="1"/>
    </xf>
    <xf numFmtId="0" fontId="51" fillId="0" borderId="8" xfId="0" applyFont="1" applyBorder="1" applyAlignment="1" applyProtection="1">
      <alignment horizontal="left"/>
      <protection hidden="1"/>
    </xf>
    <xf numFmtId="0" fontId="2" fillId="8" borderId="0" xfId="0" applyFont="1" applyFill="1" applyBorder="1" applyAlignment="1" applyProtection="1">
      <alignment horizontal="center"/>
      <protection locked="0"/>
    </xf>
    <xf numFmtId="0" fontId="38" fillId="8" borderId="0" xfId="0" applyFont="1" applyFill="1" applyBorder="1" applyProtection="1">
      <protection locked="0"/>
    </xf>
    <xf numFmtId="0" fontId="2" fillId="0" borderId="6" xfId="0" applyFont="1" applyBorder="1" applyProtection="1">
      <protection hidden="1"/>
    </xf>
    <xf numFmtId="0" fontId="34" fillId="0" borderId="2" xfId="0" applyFont="1" applyBorder="1" applyAlignment="1" applyProtection="1">
      <alignment horizontal="center" wrapText="1"/>
      <protection hidden="1"/>
    </xf>
    <xf numFmtId="164" fontId="35" fillId="0" borderId="10" xfId="1" applyNumberFormat="1" applyFont="1" applyBorder="1" applyProtection="1">
      <protection hidden="1"/>
    </xf>
    <xf numFmtId="164" fontId="35" fillId="0" borderId="10" xfId="0" applyNumberFormat="1" applyFont="1" applyBorder="1" applyProtection="1">
      <protection hidden="1"/>
    </xf>
    <xf numFmtId="164" fontId="34" fillId="0" borderId="10" xfId="1" applyNumberFormat="1" applyFont="1" applyBorder="1" applyProtection="1">
      <protection hidden="1"/>
    </xf>
    <xf numFmtId="164" fontId="34" fillId="0" borderId="10" xfId="0" applyNumberFormat="1" applyFont="1" applyBorder="1" applyProtection="1">
      <protection hidden="1"/>
    </xf>
    <xf numFmtId="164" fontId="34" fillId="0" borderId="0" xfId="0" applyNumberFormat="1" applyFont="1" applyBorder="1" applyProtection="1">
      <protection hidden="1"/>
    </xf>
    <xf numFmtId="164" fontId="34" fillId="0" borderId="28" xfId="0" applyNumberFormat="1" applyFont="1" applyBorder="1" applyProtection="1">
      <protection hidden="1"/>
    </xf>
    <xf numFmtId="164" fontId="34" fillId="0" borderId="26" xfId="0" applyNumberFormat="1" applyFont="1" applyBorder="1" applyProtection="1">
      <protection hidden="1"/>
    </xf>
    <xf numFmtId="164" fontId="34" fillId="0" borderId="27" xfId="0" applyNumberFormat="1" applyFont="1" applyBorder="1" applyProtection="1">
      <protection hidden="1"/>
    </xf>
    <xf numFmtId="164" fontId="35" fillId="0" borderId="28" xfId="0" applyNumberFormat="1" applyFont="1" applyBorder="1" applyProtection="1">
      <protection hidden="1"/>
    </xf>
    <xf numFmtId="43" fontId="27" fillId="0" borderId="0" xfId="0" applyNumberFormat="1" applyFont="1" applyBorder="1" applyProtection="1">
      <protection hidden="1"/>
    </xf>
    <xf numFmtId="164" fontId="34" fillId="3" borderId="16" xfId="1" applyNumberFormat="1" applyFont="1" applyFill="1" applyBorder="1" applyAlignment="1" applyProtection="1">
      <alignment horizontal="right"/>
      <protection hidden="1"/>
    </xf>
    <xf numFmtId="164" fontId="34" fillId="3" borderId="16" xfId="1" applyNumberFormat="1" applyFont="1" applyFill="1" applyBorder="1" applyProtection="1">
      <protection hidden="1"/>
    </xf>
    <xf numFmtId="0" fontId="4" fillId="0" borderId="0" xfId="0" applyFont="1" applyFill="1" applyAlignment="1" applyProtection="1">
      <alignment horizontal="left"/>
      <protection hidden="1"/>
    </xf>
    <xf numFmtId="0" fontId="40" fillId="0" borderId="0" xfId="0" applyFont="1" applyFill="1" applyAlignment="1" applyProtection="1">
      <alignment horizontal="left"/>
      <protection hidden="1"/>
    </xf>
    <xf numFmtId="0" fontId="1" fillId="8" borderId="10" xfId="0" applyFont="1" applyFill="1" applyBorder="1" applyProtection="1">
      <protection locked="0"/>
    </xf>
    <xf numFmtId="0" fontId="1" fillId="8" borderId="11" xfId="0" applyFont="1" applyFill="1" applyBorder="1" applyAlignment="1" applyProtection="1">
      <alignment horizontal="center"/>
      <protection locked="0"/>
    </xf>
    <xf numFmtId="165" fontId="1" fillId="8" borderId="10" xfId="1" applyNumberFormat="1" applyFont="1" applyFill="1" applyBorder="1" applyAlignment="1" applyProtection="1">
      <alignment horizontal="right" wrapText="1"/>
      <protection locked="0"/>
    </xf>
    <xf numFmtId="165" fontId="1" fillId="8" borderId="11" xfId="1" applyNumberFormat="1" applyFont="1" applyFill="1" applyBorder="1" applyAlignment="1" applyProtection="1">
      <alignment horizontal="right" wrapText="1"/>
      <protection locked="0"/>
    </xf>
    <xf numFmtId="165" fontId="1" fillId="8" borderId="10" xfId="1" applyNumberFormat="1" applyFont="1" applyFill="1" applyBorder="1" applyProtection="1">
      <protection locked="0" hidden="1"/>
    </xf>
    <xf numFmtId="165" fontId="1" fillId="8" borderId="10" xfId="1" applyNumberFormat="1" applyFont="1" applyFill="1" applyBorder="1" applyProtection="1">
      <protection locked="0"/>
    </xf>
    <xf numFmtId="0" fontId="19" fillId="0" borderId="0" xfId="0" applyFont="1" applyBorder="1" applyProtection="1">
      <protection hidden="1"/>
    </xf>
    <xf numFmtId="0" fontId="3" fillId="0" borderId="1" xfId="0" applyFont="1" applyBorder="1" applyProtection="1">
      <protection hidden="1"/>
    </xf>
    <xf numFmtId="0" fontId="62" fillId="0" borderId="9" xfId="0" applyFont="1" applyBorder="1" applyAlignment="1" applyProtection="1">
      <alignment horizontal="center"/>
      <protection hidden="1"/>
    </xf>
    <xf numFmtId="0" fontId="63" fillId="0" borderId="9" xfId="0" applyFont="1" applyBorder="1" applyAlignment="1" applyProtection="1">
      <alignment horizontal="center"/>
      <protection hidden="1"/>
    </xf>
    <xf numFmtId="0" fontId="64" fillId="0" borderId="9" xfId="0" applyFont="1" applyBorder="1" applyAlignment="1" applyProtection="1">
      <alignment horizontal="center"/>
      <protection hidden="1"/>
    </xf>
    <xf numFmtId="0" fontId="65" fillId="0" borderId="9" xfId="0" applyFont="1" applyBorder="1" applyAlignment="1" applyProtection="1">
      <alignment horizontal="center"/>
      <protection hidden="1"/>
    </xf>
    <xf numFmtId="0" fontId="66" fillId="0" borderId="9" xfId="0" applyFont="1" applyBorder="1" applyAlignment="1" applyProtection="1">
      <alignment horizontal="center"/>
      <protection hidden="1"/>
    </xf>
    <xf numFmtId="0" fontId="67" fillId="0" borderId="9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left"/>
      <protection hidden="1"/>
    </xf>
    <xf numFmtId="0" fontId="18" fillId="0" borderId="4" xfId="0" applyFont="1" applyBorder="1" applyAlignment="1" applyProtection="1">
      <alignment horizontal="left"/>
      <protection hidden="1"/>
    </xf>
    <xf numFmtId="0" fontId="20" fillId="0" borderId="4" xfId="0" applyFont="1" applyBorder="1" applyAlignment="1" applyProtection="1">
      <alignment horizontal="left"/>
      <protection hidden="1"/>
    </xf>
    <xf numFmtId="0" fontId="17" fillId="0" borderId="4" xfId="0" applyFont="1" applyBorder="1" applyAlignment="1" applyProtection="1">
      <alignment horizontal="left"/>
      <protection hidden="1"/>
    </xf>
    <xf numFmtId="0" fontId="68" fillId="0" borderId="4" xfId="0" applyFont="1" applyBorder="1" applyAlignment="1" applyProtection="1">
      <alignment horizontal="left"/>
      <protection hidden="1"/>
    </xf>
    <xf numFmtId="0" fontId="17" fillId="0" borderId="0" xfId="0" applyFont="1" applyFill="1" applyBorder="1" applyAlignment="1" applyProtection="1">
      <protection hidden="1"/>
    </xf>
    <xf numFmtId="0" fontId="34" fillId="0" borderId="0" xfId="0" applyFont="1" applyFill="1" applyBorder="1" applyAlignment="1" applyProtection="1">
      <protection hidden="1"/>
    </xf>
    <xf numFmtId="0" fontId="37" fillId="0" borderId="0" xfId="0" applyFont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protection locked="0"/>
    </xf>
    <xf numFmtId="0" fontId="0" fillId="0" borderId="2" xfId="0" applyBorder="1" applyAlignment="1" applyProtection="1">
      <protection hidden="1"/>
    </xf>
    <xf numFmtId="0" fontId="2" fillId="0" borderId="3" xfId="0" applyFont="1" applyFill="1" applyBorder="1" applyAlignment="1" applyProtection="1">
      <protection hidden="1"/>
    </xf>
    <xf numFmtId="0" fontId="2" fillId="0" borderId="8" xfId="0" applyFont="1" applyBorder="1" applyProtection="1">
      <protection hidden="1"/>
    </xf>
    <xf numFmtId="0" fontId="3" fillId="0" borderId="4" xfId="0" applyFont="1" applyBorder="1" applyProtection="1">
      <protection hidden="1"/>
    </xf>
    <xf numFmtId="165" fontId="34" fillId="0" borderId="0" xfId="1" applyNumberFormat="1" applyFont="1" applyBorder="1" applyProtection="1">
      <protection hidden="1"/>
    </xf>
    <xf numFmtId="165" fontId="34" fillId="0" borderId="0" xfId="0" applyNumberFormat="1" applyFont="1" applyBorder="1" applyProtection="1">
      <protection hidden="1"/>
    </xf>
    <xf numFmtId="164" fontId="44" fillId="0" borderId="0" xfId="0" applyNumberFormat="1" applyFont="1" applyBorder="1" applyProtection="1">
      <protection hidden="1"/>
    </xf>
    <xf numFmtId="164" fontId="58" fillId="0" borderId="0" xfId="0" applyNumberFormat="1" applyFont="1" applyBorder="1" applyProtection="1">
      <protection hidden="1"/>
    </xf>
    <xf numFmtId="164" fontId="27" fillId="0" borderId="0" xfId="0" applyNumberFormat="1" applyFont="1" applyBorder="1" applyProtection="1">
      <protection hidden="1"/>
    </xf>
    <xf numFmtId="165" fontId="34" fillId="0" borderId="10" xfId="1" applyNumberFormat="1" applyFont="1" applyBorder="1" applyProtection="1">
      <protection hidden="1"/>
    </xf>
    <xf numFmtId="164" fontId="44" fillId="0" borderId="0" xfId="1" applyNumberFormat="1" applyFont="1" applyBorder="1" applyProtection="1">
      <protection hidden="1"/>
    </xf>
    <xf numFmtId="165" fontId="44" fillId="0" borderId="10" xfId="1" applyNumberFormat="1" applyFont="1" applyBorder="1" applyProtection="1">
      <protection hidden="1"/>
    </xf>
    <xf numFmtId="164" fontId="58" fillId="0" borderId="0" xfId="1" applyNumberFormat="1" applyFont="1" applyBorder="1" applyProtection="1">
      <protection hidden="1"/>
    </xf>
    <xf numFmtId="165" fontId="58" fillId="0" borderId="10" xfId="1" applyNumberFormat="1" applyFont="1" applyBorder="1" applyProtection="1">
      <protection hidden="1"/>
    </xf>
    <xf numFmtId="166" fontId="27" fillId="8" borderId="5" xfId="3" applyNumberFormat="1" applyFont="1" applyFill="1" applyBorder="1" applyProtection="1">
      <protection locked="0"/>
    </xf>
    <xf numFmtId="164" fontId="27" fillId="0" borderId="0" xfId="1" applyNumberFormat="1" applyFont="1" applyBorder="1" applyProtection="1">
      <protection hidden="1"/>
    </xf>
    <xf numFmtId="164" fontId="27" fillId="0" borderId="10" xfId="1" applyNumberFormat="1" applyFont="1" applyBorder="1" applyProtection="1">
      <protection hidden="1"/>
    </xf>
    <xf numFmtId="165" fontId="27" fillId="0" borderId="10" xfId="1" applyNumberFormat="1" applyFont="1" applyBorder="1" applyProtection="1">
      <protection hidden="1"/>
    </xf>
    <xf numFmtId="0" fontId="34" fillId="0" borderId="10" xfId="0" applyFont="1" applyBorder="1" applyProtection="1">
      <protection hidden="1"/>
    </xf>
    <xf numFmtId="0" fontId="36" fillId="0" borderId="5" xfId="0" applyFont="1" applyBorder="1" applyAlignment="1" applyProtection="1">
      <alignment horizontal="center" wrapText="1"/>
      <protection hidden="1"/>
    </xf>
    <xf numFmtId="0" fontId="69" fillId="0" borderId="4" xfId="0" applyFont="1" applyBorder="1" applyAlignment="1" applyProtection="1">
      <alignment horizontal="left"/>
      <protection hidden="1"/>
    </xf>
    <xf numFmtId="0" fontId="2" fillId="0" borderId="9" xfId="0" applyFont="1" applyFill="1" applyBorder="1" applyAlignment="1" applyProtection="1">
      <protection hidden="1"/>
    </xf>
    <xf numFmtId="0" fontId="60" fillId="0" borderId="10" xfId="0" applyFont="1" applyBorder="1" applyAlignment="1" applyProtection="1">
      <alignment horizontal="center" wrapText="1"/>
      <protection hidden="1"/>
    </xf>
    <xf numFmtId="167" fontId="46" fillId="8" borderId="10" xfId="2" applyNumberFormat="1" applyFont="1" applyFill="1" applyBorder="1" applyProtection="1">
      <protection locked="0"/>
    </xf>
    <xf numFmtId="0" fontId="59" fillId="0" borderId="10" xfId="0" applyFont="1" applyBorder="1" applyAlignment="1" applyProtection="1">
      <alignment horizontal="center" wrapText="1"/>
      <protection hidden="1"/>
    </xf>
    <xf numFmtId="167" fontId="45" fillId="8" borderId="10" xfId="2" applyNumberFormat="1" applyFont="1" applyFill="1" applyBorder="1" applyProtection="1">
      <protection locked="0"/>
    </xf>
    <xf numFmtId="0" fontId="34" fillId="0" borderId="10" xfId="0" applyFont="1" applyBorder="1" applyAlignment="1" applyProtection="1">
      <alignment horizontal="center" wrapText="1"/>
      <protection hidden="1"/>
    </xf>
    <xf numFmtId="167" fontId="2" fillId="0" borderId="10" xfId="0" applyNumberFormat="1" applyFont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54" fillId="8" borderId="0" xfId="0" applyFont="1" applyFill="1" applyBorder="1" applyAlignment="1" applyProtection="1">
      <alignment horizontal="left"/>
      <protection locked="0"/>
    </xf>
    <xf numFmtId="0" fontId="51" fillId="8" borderId="0" xfId="0" applyFont="1" applyFill="1" applyBorder="1" applyAlignment="1" applyProtection="1">
      <alignment horizontal="left"/>
      <protection locked="0"/>
    </xf>
    <xf numFmtId="0" fontId="70" fillId="8" borderId="0" xfId="0" applyFont="1" applyFill="1" applyBorder="1" applyAlignment="1" applyProtection="1">
      <protection locked="0"/>
    </xf>
    <xf numFmtId="0" fontId="71" fillId="8" borderId="0" xfId="0" applyFont="1" applyFill="1" applyBorder="1" applyAlignment="1" applyProtection="1">
      <alignment horizontal="left"/>
      <protection locked="0"/>
    </xf>
    <xf numFmtId="0" fontId="72" fillId="8" borderId="0" xfId="0" applyFont="1" applyFill="1" applyBorder="1" applyAlignment="1" applyProtection="1">
      <protection locked="0"/>
    </xf>
    <xf numFmtId="0" fontId="6" fillId="0" borderId="1" xfId="0" applyFont="1" applyBorder="1" applyProtection="1">
      <protection hidden="1"/>
    </xf>
    <xf numFmtId="0" fontId="0" fillId="0" borderId="2" xfId="0" applyBorder="1" applyProtection="1">
      <protection hidden="1"/>
    </xf>
    <xf numFmtId="0" fontId="34" fillId="0" borderId="8" xfId="0" applyFont="1" applyBorder="1" applyAlignment="1" applyProtection="1">
      <protection hidden="1"/>
    </xf>
    <xf numFmtId="0" fontId="34" fillId="0" borderId="7" xfId="0" applyFont="1" applyBorder="1" applyProtection="1">
      <protection hidden="1"/>
    </xf>
    <xf numFmtId="167" fontId="46" fillId="0" borderId="29" xfId="0" applyNumberFormat="1" applyFont="1" applyBorder="1" applyProtection="1">
      <protection hidden="1"/>
    </xf>
    <xf numFmtId="167" fontId="45" fillId="0" borderId="29" xfId="0" applyNumberFormat="1" applyFont="1" applyBorder="1" applyProtection="1">
      <protection hidden="1"/>
    </xf>
    <xf numFmtId="167" fontId="35" fillId="0" borderId="29" xfId="0" applyNumberFormat="1" applyFont="1" applyBorder="1" applyProtection="1">
      <protection hidden="1"/>
    </xf>
    <xf numFmtId="166" fontId="2" fillId="0" borderId="30" xfId="3" applyNumberFormat="1" applyFont="1" applyBorder="1" applyProtection="1">
      <protection hidden="1"/>
    </xf>
    <xf numFmtId="0" fontId="3" fillId="4" borderId="2" xfId="0" applyFont="1" applyFill="1" applyBorder="1" applyAlignment="1" applyProtection="1">
      <alignment horizontal="center" wrapText="1"/>
      <protection hidden="1"/>
    </xf>
    <xf numFmtId="0" fontId="17" fillId="4" borderId="2" xfId="0" applyFont="1" applyFill="1" applyBorder="1" applyAlignment="1" applyProtection="1">
      <alignment horizontal="center" wrapText="1"/>
      <protection hidden="1"/>
    </xf>
    <xf numFmtId="167" fontId="3" fillId="4" borderId="0" xfId="0" applyNumberFormat="1" applyFont="1" applyFill="1" applyBorder="1" applyProtection="1">
      <protection hidden="1"/>
    </xf>
    <xf numFmtId="167" fontId="17" fillId="4" borderId="0" xfId="0" applyNumberFormat="1" applyFont="1" applyFill="1" applyBorder="1" applyProtection="1">
      <protection hidden="1"/>
    </xf>
    <xf numFmtId="0" fontId="3" fillId="5" borderId="2" xfId="0" applyFont="1" applyFill="1" applyBorder="1" applyAlignment="1" applyProtection="1">
      <alignment horizontal="center" wrapText="1"/>
      <protection hidden="1"/>
    </xf>
    <xf numFmtId="0" fontId="20" fillId="5" borderId="2" xfId="0" applyFont="1" applyFill="1" applyBorder="1" applyAlignment="1" applyProtection="1">
      <alignment horizontal="center" wrapText="1"/>
      <protection hidden="1"/>
    </xf>
    <xf numFmtId="167" fontId="3" fillId="5" borderId="0" xfId="0" applyNumberFormat="1" applyFont="1" applyFill="1" applyBorder="1" applyProtection="1">
      <protection hidden="1"/>
    </xf>
    <xf numFmtId="167" fontId="20" fillId="5" borderId="0" xfId="0" applyNumberFormat="1" applyFont="1" applyFill="1" applyBorder="1" applyProtection="1">
      <protection hidden="1"/>
    </xf>
    <xf numFmtId="0" fontId="3" fillId="3" borderId="3" xfId="0" applyFont="1" applyFill="1" applyBorder="1" applyAlignment="1" applyProtection="1">
      <alignment horizontal="center" wrapText="1"/>
      <protection hidden="1"/>
    </xf>
    <xf numFmtId="166" fontId="3" fillId="3" borderId="5" xfId="3" applyNumberFormat="1" applyFont="1" applyFill="1" applyBorder="1" applyProtection="1">
      <protection hidden="1"/>
    </xf>
    <xf numFmtId="0" fontId="23" fillId="3" borderId="20" xfId="0" applyFont="1" applyFill="1" applyBorder="1" applyAlignment="1" applyProtection="1">
      <alignment horizontal="center" wrapText="1"/>
      <protection hidden="1"/>
    </xf>
    <xf numFmtId="167" fontId="3" fillId="3" borderId="16" xfId="0" applyNumberFormat="1" applyFont="1" applyFill="1" applyBorder="1" applyProtection="1">
      <protection hidden="1"/>
    </xf>
    <xf numFmtId="0" fontId="2" fillId="0" borderId="31" xfId="0" applyFont="1" applyBorder="1" applyProtection="1">
      <protection hidden="1"/>
    </xf>
    <xf numFmtId="0" fontId="6" fillId="0" borderId="4" xfId="0" applyFont="1" applyBorder="1" applyProtection="1">
      <protection hidden="1"/>
    </xf>
    <xf numFmtId="0" fontId="49" fillId="0" borderId="4" xfId="0" applyFont="1" applyFill="1" applyBorder="1" applyAlignment="1" applyProtection="1">
      <protection hidden="1"/>
    </xf>
    <xf numFmtId="0" fontId="49" fillId="0" borderId="0" xfId="0" applyFont="1" applyFill="1" applyBorder="1" applyAlignment="1" applyProtection="1">
      <protection hidden="1"/>
    </xf>
    <xf numFmtId="0" fontId="49" fillId="0" borderId="5" xfId="0" applyFont="1" applyBorder="1" applyProtection="1">
      <protection hidden="1"/>
    </xf>
    <xf numFmtId="0" fontId="49" fillId="0" borderId="8" xfId="0" applyFont="1" applyFill="1" applyBorder="1" applyAlignment="1" applyProtection="1">
      <alignment horizontal="left"/>
      <protection hidden="1"/>
    </xf>
    <xf numFmtId="0" fontId="49" fillId="0" borderId="7" xfId="0" applyFont="1" applyFill="1" applyBorder="1" applyAlignment="1" applyProtection="1">
      <protection hidden="1"/>
    </xf>
    <xf numFmtId="0" fontId="49" fillId="0" borderId="6" xfId="0" applyFont="1" applyBorder="1" applyProtection="1">
      <protection hidden="1"/>
    </xf>
    <xf numFmtId="0" fontId="52" fillId="0" borderId="4" xfId="0" applyFont="1" applyFill="1" applyBorder="1" applyAlignment="1" applyProtection="1">
      <protection hidden="1"/>
    </xf>
    <xf numFmtId="0" fontId="52" fillId="0" borderId="0" xfId="0" applyFont="1" applyFill="1" applyBorder="1" applyProtection="1">
      <protection hidden="1"/>
    </xf>
    <xf numFmtId="0" fontId="52" fillId="0" borderId="5" xfId="0" applyFont="1" applyBorder="1" applyProtection="1">
      <protection hidden="1"/>
    </xf>
    <xf numFmtId="1" fontId="52" fillId="0" borderId="8" xfId="0" applyNumberFormat="1" applyFont="1" applyFill="1" applyBorder="1" applyAlignment="1" applyProtection="1">
      <alignment horizontal="left"/>
      <protection hidden="1"/>
    </xf>
    <xf numFmtId="0" fontId="52" fillId="0" borderId="7" xfId="0" applyFont="1" applyFill="1" applyBorder="1" applyProtection="1">
      <protection hidden="1"/>
    </xf>
    <xf numFmtId="0" fontId="52" fillId="0" borderId="6" xfId="0" applyFont="1" applyBorder="1" applyProtection="1">
      <protection hidden="1"/>
    </xf>
    <xf numFmtId="0" fontId="14" fillId="0" borderId="4" xfId="0" applyFont="1" applyBorder="1" applyProtection="1">
      <protection hidden="1"/>
    </xf>
    <xf numFmtId="0" fontId="73" fillId="0" borderId="0" xfId="0" applyFont="1" applyBorder="1" applyProtection="1">
      <protection hidden="1"/>
    </xf>
    <xf numFmtId="167" fontId="14" fillId="4" borderId="12" xfId="0" applyNumberFormat="1" applyFont="1" applyFill="1" applyBorder="1" applyProtection="1">
      <protection hidden="1"/>
    </xf>
    <xf numFmtId="167" fontId="33" fillId="4" borderId="12" xfId="0" applyNumberFormat="1" applyFont="1" applyFill="1" applyBorder="1" applyProtection="1">
      <protection hidden="1"/>
    </xf>
    <xf numFmtId="167" fontId="14" fillId="5" borderId="12" xfId="0" applyNumberFormat="1" applyFont="1" applyFill="1" applyBorder="1" applyProtection="1">
      <protection hidden="1"/>
    </xf>
    <xf numFmtId="167" fontId="28" fillId="5" borderId="12" xfId="0" applyNumberFormat="1" applyFont="1" applyFill="1" applyBorder="1" applyProtection="1">
      <protection hidden="1"/>
    </xf>
    <xf numFmtId="167" fontId="14" fillId="3" borderId="23" xfId="0" applyNumberFormat="1" applyFont="1" applyFill="1" applyBorder="1" applyProtection="1">
      <protection hidden="1"/>
    </xf>
    <xf numFmtId="166" fontId="14" fillId="3" borderId="27" xfId="3" applyNumberFormat="1" applyFont="1" applyFill="1" applyBorder="1" applyProtection="1">
      <protection hidden="1"/>
    </xf>
    <xf numFmtId="0" fontId="61" fillId="0" borderId="0" xfId="0" applyFont="1"/>
    <xf numFmtId="44" fontId="8" fillId="8" borderId="0" xfId="2" applyFont="1" applyFill="1"/>
    <xf numFmtId="167" fontId="46" fillId="0" borderId="32" xfId="2" applyNumberFormat="1" applyFont="1" applyFill="1" applyBorder="1" applyProtection="1">
      <protection locked="0"/>
    </xf>
    <xf numFmtId="167" fontId="45" fillId="0" borderId="32" xfId="2" applyNumberFormat="1" applyFont="1" applyFill="1" applyBorder="1" applyProtection="1">
      <protection locked="0"/>
    </xf>
    <xf numFmtId="167" fontId="2" fillId="0" borderId="32" xfId="0" applyNumberFormat="1" applyFont="1" applyBorder="1" applyProtection="1">
      <protection hidden="1"/>
    </xf>
    <xf numFmtId="166" fontId="2" fillId="0" borderId="32" xfId="3" applyNumberFormat="1" applyFont="1" applyBorder="1" applyProtection="1">
      <protection hidden="1"/>
    </xf>
    <xf numFmtId="0" fontId="2" fillId="0" borderId="0" xfId="0" applyFont="1" applyBorder="1" applyAlignment="1" applyProtection="1">
      <alignment horizontal="left" vertical="top"/>
      <protection hidden="1"/>
    </xf>
    <xf numFmtId="0" fontId="2" fillId="0" borderId="5" xfId="0" applyFont="1" applyBorder="1" applyAlignment="1" applyProtection="1">
      <alignment horizontal="left" vertical="top"/>
      <protection hidden="1"/>
    </xf>
    <xf numFmtId="0" fontId="34" fillId="0" borderId="5" xfId="0" applyFont="1" applyFill="1" applyBorder="1" applyAlignment="1" applyProtection="1">
      <alignment horizontal="center"/>
      <protection hidden="1"/>
    </xf>
    <xf numFmtId="165" fontId="1" fillId="9" borderId="10" xfId="1" applyNumberFormat="1" applyFont="1" applyFill="1" applyBorder="1" applyProtection="1">
      <protection locked="0"/>
    </xf>
    <xf numFmtId="165" fontId="1" fillId="9" borderId="11" xfId="1" applyNumberFormat="1" applyFont="1" applyFill="1" applyBorder="1" applyProtection="1">
      <protection locked="0"/>
    </xf>
    <xf numFmtId="167" fontId="46" fillId="9" borderId="10" xfId="2" applyNumberFormat="1" applyFont="1" applyFill="1" applyBorder="1" applyProtection="1">
      <protection locked="0"/>
    </xf>
    <xf numFmtId="167" fontId="45" fillId="9" borderId="10" xfId="2" applyNumberFormat="1" applyFont="1" applyFill="1" applyBorder="1" applyProtection="1">
      <protection locked="0"/>
    </xf>
    <xf numFmtId="167" fontId="2" fillId="9" borderId="10" xfId="0" applyNumberFormat="1" applyFont="1" applyFill="1" applyBorder="1" applyProtection="1">
      <protection hidden="1"/>
    </xf>
    <xf numFmtId="166" fontId="2" fillId="9" borderId="5" xfId="3" applyNumberFormat="1" applyFont="1" applyFill="1" applyBorder="1" applyProtection="1">
      <protection hidden="1"/>
    </xf>
    <xf numFmtId="0" fontId="35" fillId="8" borderId="4" xfId="0" applyFont="1" applyFill="1" applyBorder="1"/>
    <xf numFmtId="0" fontId="35" fillId="8" borderId="0" xfId="0" applyFont="1" applyFill="1" applyBorder="1"/>
    <xf numFmtId="0" fontId="35" fillId="8" borderId="5" xfId="0" applyFont="1" applyFill="1" applyBorder="1"/>
    <xf numFmtId="0" fontId="2" fillId="9" borderId="8" xfId="0" applyFont="1" applyFill="1" applyBorder="1" applyAlignment="1" applyProtection="1">
      <alignment horizontal="left"/>
      <protection locked="0" hidden="1"/>
    </xf>
    <xf numFmtId="0" fontId="2" fillId="9" borderId="7" xfId="0" applyFont="1" applyFill="1" applyBorder="1" applyAlignment="1" applyProtection="1">
      <alignment horizontal="left"/>
      <protection locked="0" hidden="1"/>
    </xf>
    <xf numFmtId="0" fontId="2" fillId="9" borderId="6" xfId="0" applyFont="1" applyFill="1" applyBorder="1" applyAlignment="1" applyProtection="1">
      <alignment horizontal="left"/>
      <protection locked="0" hidden="1"/>
    </xf>
    <xf numFmtId="0" fontId="2" fillId="8" borderId="4" xfId="0" applyFont="1" applyFill="1" applyBorder="1" applyAlignment="1" applyProtection="1">
      <alignment horizontal="left"/>
      <protection locked="0" hidden="1"/>
    </xf>
    <xf numFmtId="0" fontId="2" fillId="8" borderId="0" xfId="0" applyFont="1" applyFill="1" applyBorder="1" applyAlignment="1" applyProtection="1">
      <alignment horizontal="left"/>
      <protection locked="0" hidden="1"/>
    </xf>
    <xf numFmtId="0" fontId="2" fillId="8" borderId="5" xfId="0" applyFont="1" applyFill="1" applyBorder="1" applyAlignment="1" applyProtection="1">
      <alignment horizontal="left"/>
      <protection locked="0" hidden="1"/>
    </xf>
    <xf numFmtId="0" fontId="3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2" fillId="8" borderId="4" xfId="0" applyFont="1" applyFill="1" applyBorder="1" applyAlignment="1" applyProtection="1">
      <alignment horizontal="left"/>
      <protection locked="0"/>
    </xf>
    <xf numFmtId="0" fontId="2" fillId="8" borderId="0" xfId="0" applyFont="1" applyFill="1" applyBorder="1" applyAlignment="1" applyProtection="1">
      <alignment horizontal="left"/>
      <protection locked="0"/>
    </xf>
    <xf numFmtId="0" fontId="2" fillId="9" borderId="4" xfId="0" applyFont="1" applyFill="1" applyBorder="1" applyAlignment="1" applyProtection="1">
      <alignment horizontal="left"/>
      <protection locked="0" hidden="1"/>
    </xf>
    <xf numFmtId="0" fontId="2" fillId="9" borderId="0" xfId="0" applyFont="1" applyFill="1" applyBorder="1" applyAlignment="1" applyProtection="1">
      <alignment horizontal="left"/>
      <protection locked="0" hidden="1"/>
    </xf>
    <xf numFmtId="0" fontId="2" fillId="9" borderId="5" xfId="0" applyFont="1" applyFill="1" applyBorder="1" applyAlignment="1" applyProtection="1">
      <alignment horizontal="left"/>
      <protection locked="0" hidden="1"/>
    </xf>
    <xf numFmtId="0" fontId="2" fillId="0" borderId="4" xfId="0" applyFont="1" applyFill="1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2" fillId="9" borderId="4" xfId="0" applyFont="1" applyFill="1" applyBorder="1" applyAlignment="1" applyProtection="1">
      <alignment horizontal="left"/>
      <protection locked="0"/>
    </xf>
    <xf numFmtId="0" fontId="2" fillId="9" borderId="0" xfId="0" applyFont="1" applyFill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8" fillId="0" borderId="18" xfId="0" applyFont="1" applyBorder="1" applyAlignment="1" applyProtection="1">
      <alignment horizontal="center"/>
      <protection hidden="1"/>
    </xf>
    <xf numFmtId="0" fontId="48" fillId="0" borderId="17" xfId="0" applyFont="1" applyBorder="1" applyAlignment="1" applyProtection="1">
      <alignment horizontal="center"/>
      <protection hidden="1"/>
    </xf>
    <xf numFmtId="0" fontId="48" fillId="0" borderId="19" xfId="0" applyFont="1" applyBorder="1" applyAlignment="1" applyProtection="1">
      <alignment horizontal="center"/>
      <protection hidden="1"/>
    </xf>
    <xf numFmtId="0" fontId="52" fillId="0" borderId="4" xfId="0" applyFont="1" applyFill="1" applyBorder="1" applyAlignment="1" applyProtection="1">
      <protection hidden="1"/>
    </xf>
    <xf numFmtId="0" fontId="52" fillId="0" borderId="0" xfId="0" applyFont="1" applyFill="1" applyBorder="1" applyAlignment="1" applyProtection="1">
      <protection hidden="1"/>
    </xf>
    <xf numFmtId="0" fontId="9" fillId="0" borderId="5" xfId="0" applyFont="1" applyFill="1" applyBorder="1" applyAlignment="1" applyProtection="1">
      <protection hidden="1"/>
    </xf>
    <xf numFmtId="0" fontId="52" fillId="0" borderId="0" xfId="0" applyFont="1" applyFill="1" applyAlignment="1" applyProtection="1">
      <protection hidden="1"/>
    </xf>
    <xf numFmtId="0" fontId="2" fillId="10" borderId="0" xfId="0" applyFont="1" applyFill="1" applyBorder="1" applyAlignment="1" applyProtection="1">
      <alignment horizontal="left"/>
      <protection locked="0"/>
    </xf>
    <xf numFmtId="0" fontId="49" fillId="0" borderId="4" xfId="0" applyFont="1" applyFill="1" applyBorder="1" applyAlignment="1" applyProtection="1">
      <protection hidden="1"/>
    </xf>
    <xf numFmtId="0" fontId="49" fillId="0" borderId="0" xfId="0" applyFont="1" applyFill="1" applyBorder="1" applyAlignment="1" applyProtection="1">
      <protection hidden="1"/>
    </xf>
    <xf numFmtId="0" fontId="5" fillId="0" borderId="5" xfId="0" applyFont="1" applyBorder="1" applyAlignment="1" applyProtection="1">
      <protection hidden="1"/>
    </xf>
    <xf numFmtId="0" fontId="35" fillId="0" borderId="36" xfId="0" applyFont="1" applyBorder="1" applyAlignment="1" applyProtection="1">
      <alignment horizontal="left" vertical="top" wrapText="1"/>
      <protection hidden="1"/>
    </xf>
    <xf numFmtId="0" fontId="35" fillId="0" borderId="37" xfId="0" applyFont="1" applyBorder="1" applyAlignment="1" applyProtection="1">
      <alignment horizontal="left" vertical="top" wrapText="1"/>
      <protection hidden="1"/>
    </xf>
    <xf numFmtId="0" fontId="35" fillId="0" borderId="38" xfId="0" applyFont="1" applyBorder="1" applyAlignment="1" applyProtection="1">
      <alignment horizontal="left" vertical="top" wrapText="1"/>
      <protection hidden="1"/>
    </xf>
    <xf numFmtId="0" fontId="35" fillId="0" borderId="4" xfId="0" applyFont="1" applyBorder="1" applyAlignment="1" applyProtection="1">
      <alignment horizontal="left" vertical="top" wrapText="1"/>
      <protection hidden="1"/>
    </xf>
    <xf numFmtId="0" fontId="35" fillId="0" borderId="0" xfId="0" applyFont="1" applyBorder="1" applyAlignment="1" applyProtection="1">
      <alignment horizontal="left" vertical="top" wrapText="1"/>
      <protection hidden="1"/>
    </xf>
    <xf numFmtId="0" fontId="35" fillId="0" borderId="5" xfId="0" applyFont="1" applyBorder="1" applyAlignment="1" applyProtection="1">
      <alignment horizontal="left" vertical="top" wrapText="1"/>
      <protection hidden="1"/>
    </xf>
    <xf numFmtId="0" fontId="35" fillId="0" borderId="8" xfId="0" applyFont="1" applyBorder="1" applyAlignment="1" applyProtection="1">
      <alignment horizontal="left" vertical="top" wrapText="1"/>
      <protection hidden="1"/>
    </xf>
    <xf numFmtId="0" fontId="35" fillId="0" borderId="7" xfId="0" applyFont="1" applyBorder="1" applyAlignment="1" applyProtection="1">
      <alignment horizontal="left" vertical="top" wrapText="1"/>
      <protection hidden="1"/>
    </xf>
    <xf numFmtId="0" fontId="35" fillId="0" borderId="6" xfId="0" applyFont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34" fillId="0" borderId="4" xfId="0" applyFont="1" applyBorder="1" applyAlignment="1" applyProtection="1">
      <alignment horizontal="left"/>
      <protection hidden="1"/>
    </xf>
    <xf numFmtId="0" fontId="34" fillId="0" borderId="0" xfId="0" applyFont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protection hidden="1"/>
    </xf>
    <xf numFmtId="0" fontId="9" fillId="0" borderId="5" xfId="0" applyFont="1" applyBorder="1" applyAlignment="1" applyProtection="1">
      <protection hidden="1"/>
    </xf>
    <xf numFmtId="0" fontId="49" fillId="10" borderId="4" xfId="0" applyFont="1" applyFill="1" applyBorder="1" applyAlignment="1" applyProtection="1">
      <protection locked="0"/>
    </xf>
    <xf numFmtId="0" fontId="49" fillId="10" borderId="0" xfId="0" applyFont="1" applyFill="1" applyBorder="1" applyAlignment="1" applyProtection="1">
      <protection locked="0"/>
    </xf>
    <xf numFmtId="0" fontId="49" fillId="10" borderId="5" xfId="0" applyFont="1" applyFill="1" applyBorder="1" applyAlignment="1" applyProtection="1">
      <protection locked="0"/>
    </xf>
    <xf numFmtId="0" fontId="52" fillId="10" borderId="4" xfId="0" applyFont="1" applyFill="1" applyBorder="1" applyAlignment="1" applyProtection="1">
      <protection locked="0"/>
    </xf>
    <xf numFmtId="0" fontId="52" fillId="10" borderId="0" xfId="0" applyFont="1" applyFill="1" applyBorder="1" applyAlignment="1" applyProtection="1">
      <protection locked="0"/>
    </xf>
    <xf numFmtId="0" fontId="52" fillId="10" borderId="5" xfId="0" applyFont="1" applyFill="1" applyBorder="1" applyAlignment="1" applyProtection="1">
      <protection locked="0"/>
    </xf>
    <xf numFmtId="0" fontId="3" fillId="0" borderId="1" xfId="0" applyFont="1" applyBorder="1" applyAlignment="1" applyProtection="1">
      <alignment horizontal="left"/>
      <protection hidden="1"/>
    </xf>
    <xf numFmtId="0" fontId="3" fillId="0" borderId="2" xfId="0" applyFont="1" applyBorder="1" applyAlignment="1" applyProtection="1">
      <alignment horizontal="left"/>
      <protection hidden="1"/>
    </xf>
    <xf numFmtId="0" fontId="34" fillId="10" borderId="0" xfId="0" applyFont="1" applyFill="1" applyAlignment="1" applyProtection="1">
      <alignment horizontal="left"/>
      <protection locked="0"/>
    </xf>
    <xf numFmtId="0" fontId="74" fillId="10" borderId="0" xfId="0" applyFont="1" applyFill="1" applyBorder="1" applyAlignment="1" applyProtection="1">
      <alignment horizontal="left"/>
      <protection locked="0"/>
    </xf>
    <xf numFmtId="0" fontId="37" fillId="0" borderId="4" xfId="0" applyFont="1" applyBorder="1" applyAlignment="1" applyProtection="1">
      <alignment horizontal="center"/>
      <protection hidden="1"/>
    </xf>
    <xf numFmtId="0" fontId="37" fillId="0" borderId="0" xfId="0" applyFont="1" applyBorder="1" applyAlignment="1" applyProtection="1">
      <alignment horizontal="center"/>
      <protection hidden="1"/>
    </xf>
    <xf numFmtId="0" fontId="41" fillId="0" borderId="1" xfId="0" applyFont="1" applyBorder="1" applyAlignment="1" applyProtection="1">
      <alignment horizontal="center"/>
      <protection hidden="1"/>
    </xf>
    <xf numFmtId="0" fontId="41" fillId="0" borderId="2" xfId="0" applyFont="1" applyBorder="1" applyAlignment="1" applyProtection="1">
      <alignment horizontal="center"/>
      <protection hidden="1"/>
    </xf>
    <xf numFmtId="0" fontId="41" fillId="0" borderId="3" xfId="0" applyFont="1" applyBorder="1" applyAlignment="1" applyProtection="1">
      <alignment horizontal="center"/>
      <protection hidden="1"/>
    </xf>
    <xf numFmtId="0" fontId="49" fillId="0" borderId="0" xfId="0" applyFont="1" applyFill="1" applyAlignment="1" applyProtection="1">
      <alignment horizontal="left"/>
      <protection hidden="1"/>
    </xf>
    <xf numFmtId="0" fontId="34" fillId="0" borderId="39" xfId="0" applyFont="1" applyFill="1" applyBorder="1" applyAlignment="1" applyProtection="1">
      <alignment horizontal="center"/>
      <protection hidden="1"/>
    </xf>
    <xf numFmtId="0" fontId="34" fillId="0" borderId="40" xfId="0" applyFont="1" applyFill="1" applyBorder="1" applyAlignment="1" applyProtection="1">
      <alignment horizontal="center"/>
      <protection hidden="1"/>
    </xf>
    <xf numFmtId="0" fontId="34" fillId="0" borderId="41" xfId="0" applyFont="1" applyFill="1" applyBorder="1" applyAlignment="1" applyProtection="1">
      <alignment horizontal="center"/>
      <protection hidden="1"/>
    </xf>
    <xf numFmtId="0" fontId="53" fillId="0" borderId="1" xfId="0" applyFont="1" applyBorder="1" applyAlignment="1" applyProtection="1">
      <alignment horizontal="center"/>
      <protection hidden="1"/>
    </xf>
    <xf numFmtId="0" fontId="53" fillId="0" borderId="2" xfId="0" applyFont="1" applyBorder="1" applyAlignment="1" applyProtection="1">
      <alignment horizontal="center"/>
      <protection hidden="1"/>
    </xf>
    <xf numFmtId="0" fontId="53" fillId="0" borderId="3" xfId="0" applyFont="1" applyBorder="1" applyAlignment="1" applyProtection="1">
      <alignment horizontal="center"/>
      <protection hidden="1"/>
    </xf>
    <xf numFmtId="0" fontId="6" fillId="0" borderId="18" xfId="0" applyFont="1" applyBorder="1" applyAlignment="1" applyProtection="1">
      <alignment horizontal="center"/>
      <protection hidden="1"/>
    </xf>
    <xf numFmtId="0" fontId="6" fillId="0" borderId="17" xfId="0" applyFont="1" applyBorder="1" applyAlignment="1" applyProtection="1">
      <alignment horizontal="center"/>
      <protection hidden="1"/>
    </xf>
    <xf numFmtId="0" fontId="6" fillId="0" borderId="19" xfId="0" applyFont="1" applyBorder="1" applyAlignment="1" applyProtection="1">
      <alignment horizontal="center"/>
      <protection hidden="1"/>
    </xf>
    <xf numFmtId="0" fontId="3" fillId="0" borderId="18" xfId="0" applyFont="1" applyBorder="1" applyAlignment="1" applyProtection="1">
      <alignment horizontal="center" wrapText="1"/>
      <protection hidden="1"/>
    </xf>
    <xf numFmtId="0" fontId="3" fillId="0" borderId="19" xfId="0" applyFont="1" applyBorder="1" applyAlignment="1" applyProtection="1">
      <alignment horizontal="center" wrapText="1"/>
      <protection hidden="1"/>
    </xf>
    <xf numFmtId="0" fontId="3" fillId="0" borderId="18" xfId="0" applyFont="1" applyBorder="1" applyAlignment="1" applyProtection="1">
      <alignment horizontal="center"/>
      <protection hidden="1"/>
    </xf>
    <xf numFmtId="0" fontId="3" fillId="0" borderId="17" xfId="0" applyFont="1" applyBorder="1" applyAlignment="1" applyProtection="1">
      <alignment horizontal="center"/>
      <protection hidden="1"/>
    </xf>
    <xf numFmtId="0" fontId="3" fillId="0" borderId="19" xfId="0" applyFont="1" applyBorder="1" applyAlignment="1" applyProtection="1">
      <alignment horizontal="center"/>
      <protection hidden="1"/>
    </xf>
    <xf numFmtId="0" fontId="20" fillId="0" borderId="18" xfId="0" applyFont="1" applyBorder="1" applyAlignment="1" applyProtection="1">
      <alignment horizontal="center" wrapText="1"/>
      <protection hidden="1"/>
    </xf>
    <xf numFmtId="0" fontId="20" fillId="0" borderId="17" xfId="0" applyFont="1" applyBorder="1" applyAlignment="1" applyProtection="1">
      <alignment horizontal="center" wrapText="1"/>
      <protection hidden="1"/>
    </xf>
    <xf numFmtId="0" fontId="20" fillId="0" borderId="19" xfId="0" applyFont="1" applyBorder="1" applyAlignment="1" applyProtection="1">
      <alignment horizontal="center" wrapText="1"/>
      <protection hidden="1"/>
    </xf>
    <xf numFmtId="0" fontId="3" fillId="0" borderId="17" xfId="0" applyFont="1" applyBorder="1" applyAlignment="1" applyProtection="1">
      <alignment horizontal="center" wrapText="1"/>
      <protection hidden="1"/>
    </xf>
    <xf numFmtId="0" fontId="22" fillId="0" borderId="18" xfId="0" applyFont="1" applyBorder="1" applyAlignment="1" applyProtection="1">
      <alignment horizontal="center"/>
      <protection hidden="1"/>
    </xf>
    <xf numFmtId="0" fontId="22" fillId="0" borderId="17" xfId="0" applyFont="1" applyBorder="1" applyAlignment="1" applyProtection="1">
      <alignment horizontal="center"/>
      <protection hidden="1"/>
    </xf>
    <xf numFmtId="0" fontId="22" fillId="0" borderId="19" xfId="0" applyFont="1" applyBorder="1" applyAlignment="1" applyProtection="1">
      <alignment horizontal="center"/>
      <protection hidden="1"/>
    </xf>
    <xf numFmtId="2" fontId="28" fillId="0" borderId="18" xfId="0" applyNumberFormat="1" applyFont="1" applyBorder="1" applyAlignment="1">
      <alignment horizontal="center" wrapText="1"/>
    </xf>
    <xf numFmtId="2" fontId="28" fillId="0" borderId="17" xfId="0" applyNumberFormat="1" applyFont="1" applyBorder="1" applyAlignment="1">
      <alignment horizontal="center" wrapText="1"/>
    </xf>
    <xf numFmtId="2" fontId="28" fillId="0" borderId="19" xfId="0" applyNumberFormat="1" applyFont="1" applyBorder="1" applyAlignment="1">
      <alignment horizontal="center" wrapText="1"/>
    </xf>
    <xf numFmtId="2" fontId="33" fillId="0" borderId="18" xfId="0" applyNumberFormat="1" applyFont="1" applyBorder="1" applyAlignment="1">
      <alignment horizontal="center" wrapText="1"/>
    </xf>
    <xf numFmtId="2" fontId="33" fillId="0" borderId="17" xfId="0" applyNumberFormat="1" applyFont="1" applyBorder="1" applyAlignment="1">
      <alignment horizontal="center" wrapText="1"/>
    </xf>
    <xf numFmtId="2" fontId="33" fillId="0" borderId="19" xfId="0" applyNumberFormat="1" applyFont="1" applyBorder="1" applyAlignment="1">
      <alignment horizontal="center" wrapText="1"/>
    </xf>
    <xf numFmtId="0" fontId="23" fillId="0" borderId="4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4"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1" relativeIndent="0" justifyLastLine="0" shrinkToFit="0" readingOrder="0"/>
    </dxf>
    <dxf>
      <font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externalLinks/externalLink1.xml" Type="http://schemas.openxmlformats.org/officeDocument/2006/relationships/externalLink"/>
<Relationship Id="rId15" Target="theme/theme1.xml" Type="http://schemas.openxmlformats.org/officeDocument/2006/relationships/theme"/>
<Relationship Id="rId16" Target="styles.xml" Type="http://schemas.openxmlformats.org/officeDocument/2006/relationships/styles"/>
<Relationship Id="rId17" Target="sharedStrings.xml" Type="http://schemas.openxmlformats.org/officeDocument/2006/relationships/sharedStrings"/>
<Relationship Id="rId18" Target="calcChain.xml" Type="http://schemas.openxmlformats.org/officeDocument/2006/relationships/calcChain"/>
<Relationship Id="rId19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136</xdr:row>
          <xdr:rowOff>50800</xdr:rowOff>
        </xdr:from>
        <xdr:to>
          <xdr:col>12</xdr:col>
          <xdr:colOff>495300</xdr:colOff>
          <xdr:row>136</xdr:row>
          <xdr:rowOff>596900</xdr:rowOff>
        </xdr:to>
        <xdr:sp macro="" textlink="">
          <xdr:nvSpPr>
            <xdr:cNvPr id="16561" name="Button 177" hidden="1">
              <a:extLst>
                <a:ext uri="{63B3BB69-23CF-44E3-9099-C40C66FF867C}">
                  <a14:compatExt spid="_x0000_s1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DD0806"/>
                  </a:solidFill>
                  <a:latin typeface="Arial"/>
                  <a:ea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136</xdr:row>
          <xdr:rowOff>50800</xdr:rowOff>
        </xdr:from>
        <xdr:to>
          <xdr:col>10</xdr:col>
          <xdr:colOff>546100</xdr:colOff>
          <xdr:row>136</xdr:row>
          <xdr:rowOff>596900</xdr:rowOff>
        </xdr:to>
        <xdr:sp macro="" textlink="">
          <xdr:nvSpPr>
            <xdr:cNvPr id="16562" name="Button 178" hidden="1">
              <a:extLst>
                <a:ext uri="{63B3BB69-23CF-44E3-9099-C40C66FF867C}">
                  <a14:compatExt spid="_x0000_s1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DD0806"/>
                  </a:solidFill>
                  <a:latin typeface="Arial"/>
                  <a:ea typeface="Arial"/>
                  <a:cs typeface="Arial"/>
                </a:rPr>
                <a:t>Reset All Input Values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
<Relationships xmlns="http://schemas.openxmlformats.org/package/2006/relationships">
<Relationship Id="rId1" Target="Documents%20and%20Settings/katzenbergerj/Local%20Settings/Temporary%20Internet%20Files/OLK81/Job%20Quote%20Builder_M_.xls" TargetMode="External" Type="http://schemas.openxmlformats.org/officeDocument/2006/relationships/externalLinkPath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Quote Builder_M_"/>
    </sheetNames>
    <definedNames>
      <definedName name="Module3.Reset_Input_Parameters"/>
    </defined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5" name="List1" displayName="List1" ref="K3:K29" insertRowShift="1" totalsRowShown="0" headerRowDxfId="2" dataDxfId="1">
  <autoFilter ref="K3:K29"/>
  <tableColumns count="1">
    <tableColumn id="1" name="Misc Resource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no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Relationship Id="rId3" Target="../drawings/vmlDrawing1.vml" Type="http://schemas.openxmlformats.org/officeDocument/2006/relationships/vmlDrawing"/>
<Relationship Id="rId4" Target="../ctrlProps/ctrlProp1.xml" Type="http://schemas.openxmlformats.org/officeDocument/2006/relationships/ctrlProp"/>
<Relationship Id="rId5" Target="../ctrlProps/ctrlProp2.xml" Type="http://schemas.openxmlformats.org/officeDocument/2006/relationships/ctrlProp"/>
<Relationship Id="rId6" Target="../comments1.xml" Type="http://schemas.openxmlformats.org/officeDocument/2006/relationships/comments"/>
</Relationships>

</file>

<file path=xl/worksheets/_rels/sheet3.xml.rels><?xml version="1.0" encoding="UTF-8" standalone="no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no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5.xml.rels><?xml version="1.0" encoding="UTF-8" standalone="no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no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no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8.xml.rels><?xml version="1.0" encoding="UTF-8" standalone="no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_rels/sheet9.xml.rels><?xml version="1.0" encoding="UTF-8" standalone="no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vmlDrawing6.vml" Type="http://schemas.openxmlformats.org/officeDocument/2006/relationships/vmlDrawing"/>
<Relationship Id="rId3" Target="../comments6.xml" Type="http://schemas.openxmlformats.org/officeDocument/2006/relationships/comments"/>
</Relationships>

</file>

<file path=xl/worksheets/_rels/sheet10.xml.rels><?xml version="1.0" encoding="UTF-8" standalone="no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vmlDrawing7.vml" Type="http://schemas.openxmlformats.org/officeDocument/2006/relationships/vmlDrawing"/>
<Relationship Id="rId3" Target="../comments7.xml" Type="http://schemas.openxmlformats.org/officeDocument/2006/relationships/comments"/>
</Relationships>

</file>

<file path=xl/worksheets/_rels/sheet11.xml.rels><?xml version="1.0" encoding="UTF-8" standalone="no"?>
<Relationships xmlns="http://schemas.openxmlformats.org/package/2006/relationships">
<Relationship Id="rId1" Target="../printerSettings/printerSettings11.bin" Type="http://schemas.openxmlformats.org/officeDocument/2006/relationships/printerSettings"/>
</Relationships>

</file>

<file path=xl/worksheets/_rels/sheet12.xml.rels><?xml version="1.0" encoding="UTF-8" standalone="no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_rels/sheet13.xml.rels><?xml version="1.0" encoding="UTF-8" standalone="no"?>
<Relationships xmlns="http://schemas.openxmlformats.org/package/2006/relationships">
<Relationship Id="rId1" Target="../printerSettings/printerSettings13.bin" Type="http://schemas.openxmlformats.org/officeDocument/2006/relationships/printerSettings"/>
<Relationship Id="rId2" Target="../tables/table1.xml" Type="http://schemas.openxmlformats.org/officeDocument/2006/relationships/table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indexed="34"/>
    <pageSetUpPr fitToPage="1"/>
  </sheetPr>
  <dimension ref="B3:R40"/>
  <sheetViews>
    <sheetView zoomScale="75" workbookViewId="0">
      <pane xSplit="2" ySplit="4" topLeftCell="C5" activePane="bottomRight" state="frozen"/>
      <selection activeCell="M31" sqref="M31"/>
      <selection pane="topRight" activeCell="M31" sqref="M31"/>
      <selection pane="bottomLeft" activeCell="M31" sqref="M31"/>
      <selection pane="bottomRight" activeCell="I57" sqref="I57"/>
    </sheetView>
  </sheetViews>
  <sheetFormatPr baseColWidth="10" defaultColWidth="8.83203125" defaultRowHeight="13" x14ac:dyDescent="0.15"/>
  <cols>
    <col min="1" max="1" customWidth="true" width="6.5" collapsed="true"/>
    <col min="2" max="2" customWidth="true" width="11.6640625" collapsed="true"/>
  </cols>
  <sheetData>
    <row r="3" spans="2:18" x14ac:dyDescent="0.15">
      <c r="B3">
        <v>1</v>
      </c>
      <c r="C3" s="40">
        <f t="shared" ref="C3:R3" si="0">B3+1</f>
        <v>2</v>
      </c>
      <c r="D3" s="40">
        <f t="shared" si="0"/>
        <v>3</v>
      </c>
      <c r="E3" s="40">
        <f t="shared" si="0"/>
        <v>4</v>
      </c>
      <c r="F3" s="40">
        <f t="shared" si="0"/>
        <v>5</v>
      </c>
      <c r="G3" s="40">
        <f t="shared" si="0"/>
        <v>6</v>
      </c>
      <c r="H3" s="40">
        <f t="shared" si="0"/>
        <v>7</v>
      </c>
      <c r="I3" s="40">
        <f t="shared" si="0"/>
        <v>8</v>
      </c>
      <c r="J3" s="40">
        <f t="shared" si="0"/>
        <v>9</v>
      </c>
      <c r="K3" s="6">
        <f t="shared" si="0"/>
        <v>10</v>
      </c>
      <c r="L3" s="6">
        <f t="shared" si="0"/>
        <v>11</v>
      </c>
      <c r="M3" s="6">
        <f t="shared" si="0"/>
        <v>12</v>
      </c>
      <c r="N3" s="6">
        <f t="shared" si="0"/>
        <v>13</v>
      </c>
      <c r="O3" s="6">
        <f t="shared" si="0"/>
        <v>14</v>
      </c>
      <c r="P3" s="6">
        <f t="shared" si="0"/>
        <v>15</v>
      </c>
      <c r="Q3" s="6">
        <f t="shared" si="0"/>
        <v>16</v>
      </c>
      <c r="R3" s="6">
        <f t="shared" si="0"/>
        <v>17</v>
      </c>
    </row>
    <row r="4" spans="2:18" ht="39" x14ac:dyDescent="0.15">
      <c r="B4" s="3" t="s">
        <v>299</v>
      </c>
      <c r="C4" s="8" t="s">
        <v>300</v>
      </c>
      <c r="D4" s="8" t="s">
        <v>301</v>
      </c>
      <c r="E4" s="8" t="s">
        <v>302</v>
      </c>
      <c r="F4" s="8" t="s">
        <v>303</v>
      </c>
      <c r="G4" s="8" t="s">
        <v>304</v>
      </c>
      <c r="H4" s="8" t="s">
        <v>305</v>
      </c>
      <c r="I4" s="8" t="s">
        <v>306</v>
      </c>
      <c r="J4" s="8" t="s">
        <v>307</v>
      </c>
      <c r="K4" s="22" t="s">
        <v>308</v>
      </c>
      <c r="L4" s="22" t="s">
        <v>309</v>
      </c>
      <c r="M4" s="22" t="s">
        <v>310</v>
      </c>
      <c r="N4" s="22" t="s">
        <v>311</v>
      </c>
      <c r="O4" s="22" t="s">
        <v>312</v>
      </c>
      <c r="P4" s="22" t="s">
        <v>313</v>
      </c>
      <c r="Q4" s="22" t="s">
        <v>314</v>
      </c>
      <c r="R4" s="22" t="s">
        <v>315</v>
      </c>
    </row>
    <row r="5" spans="2:18" x14ac:dyDescent="0.15">
      <c r="B5" s="483" t="s">
        <v>267</v>
      </c>
      <c r="C5" s="191">
        <v>33</v>
      </c>
      <c r="D5" s="191">
        <v>33</v>
      </c>
      <c r="E5" s="192">
        <v>25</v>
      </c>
      <c r="F5" s="191">
        <v>33</v>
      </c>
      <c r="G5" s="191">
        <v>33</v>
      </c>
      <c r="H5" s="191">
        <v>33</v>
      </c>
      <c r="I5" s="191">
        <v>33</v>
      </c>
      <c r="J5" s="191">
        <v>33</v>
      </c>
      <c r="K5" s="193">
        <v>49.5</v>
      </c>
      <c r="L5" s="193">
        <v>49.5</v>
      </c>
      <c r="M5" s="194">
        <v>25</v>
      </c>
      <c r="N5" s="193">
        <v>49.5</v>
      </c>
      <c r="O5" s="193">
        <v>49.5</v>
      </c>
      <c r="P5" s="193">
        <v>49.5</v>
      </c>
      <c r="Q5" s="193">
        <v>49.5</v>
      </c>
      <c r="R5" s="193">
        <v>49.5</v>
      </c>
    </row>
    <row r="6" spans="2:18" x14ac:dyDescent="0.15">
      <c r="B6" s="483" t="s">
        <v>268</v>
      </c>
      <c r="C6" s="191">
        <v>31</v>
      </c>
      <c r="D6" s="191">
        <v>31</v>
      </c>
      <c r="E6" s="192">
        <v>21.3</v>
      </c>
      <c r="F6" s="191">
        <v>31</v>
      </c>
      <c r="G6" s="191">
        <v>31</v>
      </c>
      <c r="H6" s="191">
        <v>31</v>
      </c>
      <c r="I6" s="191">
        <v>31</v>
      </c>
      <c r="J6" s="191">
        <v>31</v>
      </c>
      <c r="K6" s="193">
        <v>46.5</v>
      </c>
      <c r="L6" s="193">
        <v>46.5</v>
      </c>
      <c r="M6" s="194">
        <v>21.3</v>
      </c>
      <c r="N6" s="193">
        <v>46.5</v>
      </c>
      <c r="O6" s="193">
        <v>46.5</v>
      </c>
      <c r="P6" s="193">
        <v>46.5</v>
      </c>
      <c r="Q6" s="193">
        <v>46.5</v>
      </c>
      <c r="R6" s="193">
        <v>46.5</v>
      </c>
    </row>
    <row r="7" spans="2:18" x14ac:dyDescent="0.15">
      <c r="B7" s="483" t="s">
        <v>269</v>
      </c>
      <c r="C7" s="191">
        <v>30.4</v>
      </c>
      <c r="D7" s="191">
        <v>30.4</v>
      </c>
      <c r="E7" s="192">
        <v>27.5</v>
      </c>
      <c r="F7" s="191">
        <v>30.4</v>
      </c>
      <c r="G7" s="191">
        <v>30.4</v>
      </c>
      <c r="H7" s="191">
        <v>30.4</v>
      </c>
      <c r="I7" s="191">
        <v>30.4</v>
      </c>
      <c r="J7" s="191">
        <v>30.4</v>
      </c>
      <c r="K7" s="193">
        <v>45.5</v>
      </c>
      <c r="L7" s="193">
        <v>45.5</v>
      </c>
      <c r="M7" s="194">
        <v>27.5</v>
      </c>
      <c r="N7" s="193">
        <v>45.5</v>
      </c>
      <c r="O7" s="193">
        <v>45.5</v>
      </c>
      <c r="P7" s="193">
        <v>45.5</v>
      </c>
      <c r="Q7" s="193">
        <v>45.5</v>
      </c>
      <c r="R7" s="193">
        <v>45.5</v>
      </c>
    </row>
    <row r="8" spans="2:18" x14ac:dyDescent="0.15">
      <c r="B8" s="483" t="s">
        <v>270</v>
      </c>
      <c r="C8" s="191">
        <v>0.01</v>
      </c>
      <c r="D8" s="191">
        <v>0.01</v>
      </c>
      <c r="E8" s="191">
        <v>0.01</v>
      </c>
      <c r="F8" s="191">
        <v>0.01</v>
      </c>
      <c r="G8" s="191">
        <v>0.01</v>
      </c>
      <c r="H8" s="191">
        <v>0.01</v>
      </c>
      <c r="I8" s="191">
        <v>0.01</v>
      </c>
      <c r="J8" s="191">
        <v>0.01</v>
      </c>
      <c r="K8" s="193">
        <v>0.01</v>
      </c>
      <c r="L8" s="193">
        <v>0.01</v>
      </c>
      <c r="M8" s="484">
        <v>0.01</v>
      </c>
      <c r="N8" s="193">
        <v>0.01</v>
      </c>
      <c r="O8" s="193">
        <v>0.01</v>
      </c>
      <c r="P8" s="193">
        <v>0.01</v>
      </c>
      <c r="Q8" s="193">
        <v>0.01</v>
      </c>
      <c r="R8" s="193">
        <v>0.01</v>
      </c>
    </row>
    <row r="9" spans="2:18" x14ac:dyDescent="0.15">
      <c r="B9" s="483" t="s">
        <v>271</v>
      </c>
      <c r="C9" s="191">
        <v>32</v>
      </c>
      <c r="D9" s="191">
        <v>32</v>
      </c>
      <c r="E9" s="192">
        <v>21.8</v>
      </c>
      <c r="F9" s="191">
        <v>32</v>
      </c>
      <c r="G9" s="191">
        <v>32</v>
      </c>
      <c r="H9" s="191">
        <v>32</v>
      </c>
      <c r="I9" s="191">
        <v>32</v>
      </c>
      <c r="J9" s="191">
        <v>32</v>
      </c>
      <c r="K9" s="193">
        <v>48</v>
      </c>
      <c r="L9" s="193">
        <v>48</v>
      </c>
      <c r="M9" s="194">
        <v>21.8</v>
      </c>
      <c r="N9" s="193">
        <v>48</v>
      </c>
      <c r="O9" s="193">
        <v>48</v>
      </c>
      <c r="P9" s="193">
        <v>48</v>
      </c>
      <c r="Q9" s="193">
        <v>48</v>
      </c>
      <c r="R9" s="193">
        <v>48</v>
      </c>
    </row>
    <row r="10" spans="2:18" x14ac:dyDescent="0.15">
      <c r="B10" s="483" t="s">
        <v>272</v>
      </c>
      <c r="C10" s="191">
        <v>32</v>
      </c>
      <c r="D10" s="191">
        <v>32</v>
      </c>
      <c r="E10" s="192">
        <v>20</v>
      </c>
      <c r="F10" s="191">
        <v>32</v>
      </c>
      <c r="G10" s="191">
        <v>32</v>
      </c>
      <c r="H10" s="191">
        <v>32</v>
      </c>
      <c r="I10" s="191">
        <v>32</v>
      </c>
      <c r="J10" s="191">
        <v>32</v>
      </c>
      <c r="K10" s="193">
        <v>48</v>
      </c>
      <c r="L10" s="193">
        <v>48</v>
      </c>
      <c r="M10" s="194">
        <v>20</v>
      </c>
      <c r="N10" s="193">
        <v>48</v>
      </c>
      <c r="O10" s="193">
        <v>48</v>
      </c>
      <c r="P10" s="193">
        <v>48</v>
      </c>
      <c r="Q10" s="193">
        <v>48</v>
      </c>
      <c r="R10" s="193">
        <v>48</v>
      </c>
    </row>
    <row r="11" spans="2:18" x14ac:dyDescent="0.15">
      <c r="B11" s="188" t="s">
        <v>273</v>
      </c>
      <c r="C11" s="191"/>
      <c r="D11" s="191"/>
      <c r="E11" s="192"/>
      <c r="F11" s="191"/>
      <c r="G11" s="191"/>
      <c r="H11" s="191"/>
      <c r="I11" s="191"/>
      <c r="J11" s="191"/>
      <c r="K11" s="193"/>
      <c r="L11" s="193"/>
      <c r="M11" s="194"/>
      <c r="N11" s="193"/>
      <c r="O11" s="193"/>
      <c r="P11" s="193"/>
      <c r="Q11" s="193"/>
      <c r="R11" s="193"/>
    </row>
    <row r="12" spans="2:18" x14ac:dyDescent="0.15">
      <c r="B12" s="483" t="s">
        <v>274</v>
      </c>
      <c r="C12" s="191"/>
      <c r="D12" s="191"/>
      <c r="E12" s="192"/>
      <c r="F12" s="191"/>
      <c r="G12" s="191"/>
      <c r="H12" s="191"/>
      <c r="I12" s="191"/>
      <c r="J12" s="191"/>
      <c r="K12" s="193"/>
      <c r="L12" s="193"/>
      <c r="M12" s="194"/>
      <c r="N12" s="193"/>
      <c r="O12" s="193"/>
      <c r="P12" s="193"/>
      <c r="Q12" s="193"/>
      <c r="R12" s="193"/>
    </row>
    <row r="14" spans="2:18" x14ac:dyDescent="0.15">
      <c r="B14" s="188" t="s">
        <v>316</v>
      </c>
      <c r="C14" s="191">
        <f t="shared" ref="C14:R14" si="1">AVERAGE(C12,C10,C9,C7,C6,C5)</f>
        <v>31.68</v>
      </c>
      <c r="D14" s="191">
        <f t="shared" si="1"/>
        <v>31.68</v>
      </c>
      <c r="E14" s="192">
        <f t="shared" si="1"/>
        <v>23.119999999999997</v>
      </c>
      <c r="F14" s="191">
        <f t="shared" si="1"/>
        <v>31.68</v>
      </c>
      <c r="G14" s="191">
        <f t="shared" si="1"/>
        <v>31.68</v>
      </c>
      <c r="H14" s="191">
        <f t="shared" si="1"/>
        <v>31.68</v>
      </c>
      <c r="I14" s="191">
        <f t="shared" si="1"/>
        <v>31.68</v>
      </c>
      <c r="J14" s="191">
        <f t="shared" si="1"/>
        <v>31.68</v>
      </c>
      <c r="K14" s="193">
        <f t="shared" si="1"/>
        <v>47.5</v>
      </c>
      <c r="L14" s="193">
        <f t="shared" si="1"/>
        <v>47.5</v>
      </c>
      <c r="M14" s="194">
        <f t="shared" si="1"/>
        <v>23.119999999999997</v>
      </c>
      <c r="N14" s="193">
        <f t="shared" si="1"/>
        <v>47.5</v>
      </c>
      <c r="O14" s="193">
        <f t="shared" si="1"/>
        <v>47.5</v>
      </c>
      <c r="P14" s="193">
        <f t="shared" si="1"/>
        <v>47.5</v>
      </c>
      <c r="Q14" s="193">
        <f t="shared" si="1"/>
        <v>47.5</v>
      </c>
      <c r="R14" s="193">
        <f t="shared" si="1"/>
        <v>47.5</v>
      </c>
    </row>
    <row r="16" spans="2:18" x14ac:dyDescent="0.15">
      <c r="O16" s="193"/>
    </row>
    <row r="17" spans="2:18" x14ac:dyDescent="0.15">
      <c r="B17" s="483" t="s">
        <v>267</v>
      </c>
      <c r="C17" s="191">
        <v>14.63</v>
      </c>
      <c r="D17" s="191">
        <v>14.63</v>
      </c>
      <c r="E17" s="192">
        <v>15.25</v>
      </c>
      <c r="F17" s="191">
        <v>14.63</v>
      </c>
      <c r="G17" s="191">
        <v>14.63</v>
      </c>
      <c r="H17" s="191">
        <v>14.63</v>
      </c>
      <c r="I17" s="191">
        <v>14.63</v>
      </c>
      <c r="J17" s="191">
        <v>14.63</v>
      </c>
      <c r="K17" s="193">
        <v>21.95</v>
      </c>
      <c r="L17" s="193">
        <v>21.95</v>
      </c>
      <c r="M17" s="194">
        <v>15.25</v>
      </c>
      <c r="N17" s="193">
        <v>21.95</v>
      </c>
      <c r="O17" s="193">
        <v>21.95</v>
      </c>
      <c r="P17" s="193">
        <v>21.95</v>
      </c>
      <c r="Q17" s="193">
        <v>21.95</v>
      </c>
      <c r="R17" s="193">
        <v>21.95</v>
      </c>
    </row>
    <row r="18" spans="2:18" x14ac:dyDescent="0.15">
      <c r="B18" s="483" t="s">
        <v>268</v>
      </c>
      <c r="C18" s="191">
        <v>14.15</v>
      </c>
      <c r="D18" s="191">
        <v>14.15</v>
      </c>
      <c r="E18" s="192">
        <v>15.25</v>
      </c>
      <c r="F18" s="191">
        <v>14.15</v>
      </c>
      <c r="G18" s="191">
        <v>14.15</v>
      </c>
      <c r="H18" s="191">
        <v>14.15</v>
      </c>
      <c r="I18" s="191">
        <v>14.15</v>
      </c>
      <c r="J18" s="191">
        <v>14.15</v>
      </c>
      <c r="K18" s="193">
        <v>21.23</v>
      </c>
      <c r="L18" s="193">
        <v>21.23</v>
      </c>
      <c r="M18" s="194">
        <v>15.25</v>
      </c>
      <c r="N18" s="193">
        <v>21.23</v>
      </c>
      <c r="O18" s="193">
        <v>21.23</v>
      </c>
      <c r="P18" s="193">
        <v>21.23</v>
      </c>
      <c r="Q18" s="193">
        <v>21.23</v>
      </c>
      <c r="R18" s="193">
        <v>21.23</v>
      </c>
    </row>
    <row r="19" spans="2:18" x14ac:dyDescent="0.15">
      <c r="B19" s="483" t="s">
        <v>269</v>
      </c>
      <c r="C19" s="191">
        <v>15.17</v>
      </c>
      <c r="D19" s="191">
        <v>15.17</v>
      </c>
      <c r="E19" s="192">
        <v>15.25</v>
      </c>
      <c r="F19" s="191">
        <v>15.17</v>
      </c>
      <c r="G19" s="191">
        <v>15.17</v>
      </c>
      <c r="H19" s="191">
        <v>15.17</v>
      </c>
      <c r="I19" s="191">
        <v>15.17</v>
      </c>
      <c r="J19" s="191">
        <v>15.17</v>
      </c>
      <c r="K19" s="193">
        <v>22.76</v>
      </c>
      <c r="L19" s="193">
        <v>22.76</v>
      </c>
      <c r="M19" s="194">
        <v>15.25</v>
      </c>
      <c r="N19" s="193">
        <v>22.76</v>
      </c>
      <c r="O19" s="193">
        <v>22.76</v>
      </c>
      <c r="P19" s="193">
        <v>22.76</v>
      </c>
      <c r="Q19" s="193">
        <v>22.76</v>
      </c>
      <c r="R19" s="193">
        <v>22.76</v>
      </c>
    </row>
    <row r="20" spans="2:18" x14ac:dyDescent="0.15">
      <c r="B20" s="483" t="s">
        <v>270</v>
      </c>
      <c r="C20" s="191">
        <v>0.01</v>
      </c>
      <c r="D20" s="191">
        <v>0.01</v>
      </c>
      <c r="E20" s="191">
        <v>0.01</v>
      </c>
      <c r="F20" s="191">
        <v>0.01</v>
      </c>
      <c r="G20" s="191">
        <v>0.01</v>
      </c>
      <c r="H20" s="191">
        <v>0.01</v>
      </c>
      <c r="I20" s="191">
        <v>0.01</v>
      </c>
      <c r="J20" s="191">
        <v>0.01</v>
      </c>
      <c r="K20" s="193">
        <v>0.01</v>
      </c>
      <c r="L20" s="193">
        <v>0.01</v>
      </c>
      <c r="M20" s="484">
        <v>0.01</v>
      </c>
      <c r="N20" s="193">
        <v>0.01</v>
      </c>
      <c r="O20" s="193">
        <v>0.01</v>
      </c>
      <c r="P20" s="193">
        <v>0.01</v>
      </c>
      <c r="Q20" s="193">
        <v>0.01</v>
      </c>
      <c r="R20" s="193">
        <v>0.01</v>
      </c>
    </row>
    <row r="21" spans="2:18" x14ac:dyDescent="0.15">
      <c r="B21" s="483" t="s">
        <v>271</v>
      </c>
      <c r="C21" s="191">
        <v>16.329999999999998</v>
      </c>
      <c r="D21" s="191">
        <v>16.329999999999998</v>
      </c>
      <c r="E21" s="192">
        <v>15.25</v>
      </c>
      <c r="F21" s="191">
        <v>16.329999999999998</v>
      </c>
      <c r="G21" s="191">
        <v>16.329999999999998</v>
      </c>
      <c r="H21" s="191">
        <v>16.329999999999998</v>
      </c>
      <c r="I21" s="191">
        <v>16.329999999999998</v>
      </c>
      <c r="J21" s="191">
        <v>16.329999999999998</v>
      </c>
      <c r="K21" s="193">
        <v>24.5</v>
      </c>
      <c r="L21" s="193">
        <v>24.5</v>
      </c>
      <c r="M21" s="194">
        <v>15.25</v>
      </c>
      <c r="N21" s="193">
        <v>24.5</v>
      </c>
      <c r="O21" s="193">
        <v>24.5</v>
      </c>
      <c r="P21" s="193">
        <v>24.5</v>
      </c>
      <c r="Q21" s="193">
        <v>24.5</v>
      </c>
      <c r="R21" s="193">
        <v>24.5</v>
      </c>
    </row>
    <row r="22" spans="2:18" x14ac:dyDescent="0.15">
      <c r="B22" s="483" t="s">
        <v>272</v>
      </c>
      <c r="C22" s="191">
        <v>14.64</v>
      </c>
      <c r="D22" s="191">
        <v>14.64</v>
      </c>
      <c r="E22" s="192">
        <v>15.25</v>
      </c>
      <c r="F22" s="191">
        <v>14.64</v>
      </c>
      <c r="G22" s="191">
        <v>14.64</v>
      </c>
      <c r="H22" s="191">
        <v>14.64</v>
      </c>
      <c r="I22" s="191">
        <v>14.64</v>
      </c>
      <c r="J22" s="191">
        <v>14.64</v>
      </c>
      <c r="K22" s="193">
        <v>21.96</v>
      </c>
      <c r="L22" s="193">
        <v>21.96</v>
      </c>
      <c r="M22" s="194">
        <v>15.25</v>
      </c>
      <c r="N22" s="193">
        <v>21.96</v>
      </c>
      <c r="O22" s="193">
        <v>21.96</v>
      </c>
      <c r="P22" s="193">
        <v>21.96</v>
      </c>
      <c r="Q22" s="193">
        <v>21.96</v>
      </c>
      <c r="R22" s="193">
        <v>21.96</v>
      </c>
    </row>
    <row r="23" spans="2:18" x14ac:dyDescent="0.15">
      <c r="B23" s="188" t="s">
        <v>273</v>
      </c>
      <c r="C23" s="191"/>
      <c r="D23" s="191"/>
      <c r="E23" s="192"/>
      <c r="F23" s="191"/>
      <c r="G23" s="191"/>
      <c r="H23" s="191"/>
      <c r="I23" s="191"/>
      <c r="J23" s="191"/>
      <c r="K23" s="193"/>
      <c r="L23" s="193"/>
      <c r="M23" s="194"/>
      <c r="N23" s="193"/>
      <c r="O23" s="193"/>
      <c r="P23" s="193"/>
      <c r="Q23" s="193"/>
      <c r="R23" s="193"/>
    </row>
    <row r="24" spans="2:18" x14ac:dyDescent="0.15">
      <c r="B24" s="483" t="s">
        <v>274</v>
      </c>
      <c r="C24" s="191"/>
      <c r="D24" s="191"/>
      <c r="E24" s="192"/>
      <c r="F24" s="191"/>
      <c r="G24" s="191"/>
      <c r="H24" s="191"/>
      <c r="I24" s="191"/>
      <c r="J24" s="191"/>
      <c r="K24" s="193"/>
      <c r="L24" s="193"/>
      <c r="M24" s="194"/>
      <c r="N24" s="193"/>
      <c r="O24" s="193"/>
      <c r="P24" s="193"/>
      <c r="Q24" s="193"/>
      <c r="R24" s="193"/>
    </row>
    <row r="26" spans="2:18" x14ac:dyDescent="0.15">
      <c r="B26" s="188" t="s">
        <v>316</v>
      </c>
      <c r="C26" s="191">
        <f t="shared" ref="C26:R26" si="2">AVERAGE(C24,C22,C21,C19,C18,C17)</f>
        <v>14.984</v>
      </c>
      <c r="D26" s="191">
        <f t="shared" si="2"/>
        <v>14.984</v>
      </c>
      <c r="E26" s="192">
        <f t="shared" si="2"/>
        <v>15.25</v>
      </c>
      <c r="F26" s="191">
        <f t="shared" si="2"/>
        <v>14.984</v>
      </c>
      <c r="G26" s="191">
        <f t="shared" si="2"/>
        <v>14.984</v>
      </c>
      <c r="H26" s="191">
        <f t="shared" si="2"/>
        <v>14.984</v>
      </c>
      <c r="I26" s="191">
        <f t="shared" si="2"/>
        <v>14.984</v>
      </c>
      <c r="J26" s="191">
        <f t="shared" si="2"/>
        <v>14.984</v>
      </c>
      <c r="K26" s="193">
        <f t="shared" si="2"/>
        <v>22.48</v>
      </c>
      <c r="L26" s="193">
        <f t="shared" si="2"/>
        <v>22.48</v>
      </c>
      <c r="M26" s="194">
        <f t="shared" si="2"/>
        <v>15.25</v>
      </c>
      <c r="N26" s="193">
        <f t="shared" si="2"/>
        <v>22.48</v>
      </c>
      <c r="O26" s="193">
        <f t="shared" si="2"/>
        <v>22.48</v>
      </c>
      <c r="P26" s="193">
        <f t="shared" si="2"/>
        <v>22.48</v>
      </c>
      <c r="Q26" s="193">
        <f t="shared" si="2"/>
        <v>22.48</v>
      </c>
      <c r="R26" s="193">
        <f t="shared" si="2"/>
        <v>22.48</v>
      </c>
    </row>
    <row r="36" spans="3:15" x14ac:dyDescent="0.15">
      <c r="J36" s="6"/>
      <c r="O36" s="191"/>
    </row>
    <row r="40" spans="3:15" x14ac:dyDescent="0.15">
      <c r="C40" t="s">
        <v>400</v>
      </c>
    </row>
  </sheetData>
  <phoneticPr fontId="2" type="noConversion"/>
  <pageMargins left="0.75" right="0.75" top="1" bottom="1" header="0.5" footer="0.5"/>
  <pageSetup paperSize="5" scale="89" orientation="landscape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IJ235"/>
  <sheetViews>
    <sheetView showGridLines="0" tabSelected="1" zoomScale="85" workbookViewId="0">
      <selection activeCell="D22" sqref="D22"/>
    </sheetView>
  </sheetViews>
  <sheetFormatPr baseColWidth="10" defaultColWidth="0" defaultRowHeight="11" zeroHeight="1" outlineLevelRow="1" x14ac:dyDescent="0.15"/>
  <cols>
    <col min="1" max="1" customWidth="true" style="183" width="1.6640625" collapsed="true"/>
    <col min="2" max="2" customWidth="true" style="183" width="10.6640625" collapsed="true"/>
    <col min="3" max="3" customWidth="true" style="183" width="35.6640625" collapsed="true"/>
    <col min="4" max="5" customWidth="true" style="183" width="11.6640625" collapsed="true"/>
    <col min="6" max="6" bestFit="true" customWidth="true" style="183" width="12.83203125" collapsed="true"/>
    <col min="7" max="7" customWidth="true" style="183" width="11.6640625" collapsed="true"/>
    <col min="8" max="8" bestFit="true" customWidth="true" style="183" width="12.83203125" collapsed="true"/>
    <col min="9" max="13" customWidth="true" style="183" width="11.6640625" collapsed="true"/>
    <col min="14" max="14" customWidth="true" style="183" width="1.5" collapsed="true"/>
    <col min="15" max="244" customWidth="true" hidden="true" style="183" width="9.1640625" collapsed="true"/>
    <col min="245" max="16384" hidden="true" style="183" width="0.0" collapsed="true"/>
  </cols>
  <sheetData>
    <row r="1" spans="1:13" ht="6" customHeight="1" x14ac:dyDescent="0.15"/>
    <row r="2" spans="1:13" ht="6" customHeight="1" x14ac:dyDescent="0.15"/>
    <row r="3" spans="1:13" ht="12.75" customHeight="1" x14ac:dyDescent="0.2">
      <c r="A3" s="187"/>
      <c r="B3" s="130" t="s">
        <v>328</v>
      </c>
      <c r="D3" s="555" t="s">
        <v>267</v>
      </c>
      <c r="E3" s="555"/>
    </row>
    <row r="4" spans="1:13" ht="2.25" customHeight="1" x14ac:dyDescent="0.15"/>
    <row r="5" spans="1:13" ht="6" customHeight="1" x14ac:dyDescent="0.15">
      <c r="B5" s="203"/>
      <c r="C5" s="203"/>
      <c r="D5" s="203"/>
      <c r="E5" s="204"/>
      <c r="F5" s="204"/>
      <c r="G5" s="204"/>
      <c r="H5" s="204"/>
      <c r="I5" s="204"/>
      <c r="J5" s="204"/>
      <c r="K5" s="204"/>
      <c r="L5" s="204"/>
      <c r="M5" s="204"/>
    </row>
    <row r="6" spans="1:13" ht="6" customHeight="1" thickBot="1" x14ac:dyDescent="0.2"/>
    <row r="7" spans="1:13" ht="16" x14ac:dyDescent="0.2">
      <c r="A7" s="187"/>
      <c r="B7" s="128"/>
      <c r="C7" s="128"/>
      <c r="D7" s="559" t="s">
        <v>384</v>
      </c>
      <c r="E7" s="560"/>
      <c r="F7" s="561"/>
      <c r="H7" s="566" t="s">
        <v>385</v>
      </c>
      <c r="I7" s="567"/>
      <c r="J7" s="568"/>
      <c r="K7" s="199"/>
    </row>
    <row r="8" spans="1:13" x14ac:dyDescent="0.15">
      <c r="A8" s="187"/>
      <c r="B8" s="195"/>
      <c r="D8" s="547" t="s">
        <v>492</v>
      </c>
      <c r="E8" s="548"/>
      <c r="F8" s="549"/>
      <c r="H8" s="550" t="s">
        <v>492</v>
      </c>
      <c r="I8" s="551"/>
      <c r="J8" s="552"/>
      <c r="K8" s="199"/>
    </row>
    <row r="9" spans="1:13" ht="13" x14ac:dyDescent="0.15">
      <c r="A9" s="187"/>
      <c r="B9" s="195"/>
      <c r="D9" s="529"/>
      <c r="E9" s="530"/>
      <c r="F9" s="531"/>
      <c r="H9" s="524" t="s">
        <v>494</v>
      </c>
      <c r="I9" s="525"/>
      <c r="J9" s="546"/>
      <c r="K9" s="199"/>
    </row>
    <row r="10" spans="1:13" ht="13" x14ac:dyDescent="0.15">
      <c r="A10" s="187"/>
      <c r="B10" s="195"/>
      <c r="D10" s="529"/>
      <c r="E10" s="530"/>
      <c r="F10" s="531"/>
      <c r="H10" s="524" t="s">
        <v>495</v>
      </c>
      <c r="I10" s="525"/>
      <c r="J10" s="526"/>
      <c r="K10" s="199"/>
    </row>
    <row r="11" spans="1:13" x14ac:dyDescent="0.15">
      <c r="A11" s="187"/>
      <c r="B11" s="195"/>
      <c r="D11" s="463"/>
      <c r="E11" s="464"/>
      <c r="F11" s="465"/>
      <c r="H11" s="469" t="s">
        <v>496</v>
      </c>
      <c r="I11" s="470"/>
      <c r="J11" s="471"/>
      <c r="K11" s="199"/>
    </row>
    <row r="12" spans="1:13" ht="12" thickBot="1" x14ac:dyDescent="0.2">
      <c r="A12" s="187"/>
      <c r="B12" s="195"/>
      <c r="D12" s="466"/>
      <c r="E12" s="467"/>
      <c r="F12" s="468"/>
      <c r="H12" s="472" t="s">
        <v>497</v>
      </c>
      <c r="I12" s="473"/>
      <c r="J12" s="474"/>
      <c r="K12" s="199"/>
    </row>
    <row r="13" spans="1:13" ht="2.25" customHeight="1" x14ac:dyDescent="0.15">
      <c r="A13" s="187"/>
      <c r="B13" s="195"/>
      <c r="D13" s="562" t="s">
        <v>493</v>
      </c>
      <c r="E13" s="562"/>
      <c r="F13" s="202"/>
      <c r="H13" s="527" t="s">
        <v>493</v>
      </c>
      <c r="I13" s="527"/>
      <c r="J13" s="200"/>
      <c r="K13" s="199"/>
    </row>
    <row r="14" spans="1:13" x14ac:dyDescent="0.15">
      <c r="A14" s="187"/>
      <c r="B14" s="195" t="s">
        <v>500</v>
      </c>
      <c r="D14" s="562" t="s">
        <v>493</v>
      </c>
      <c r="E14" s="562"/>
      <c r="F14" s="201"/>
      <c r="H14" s="527" t="s">
        <v>493</v>
      </c>
      <c r="I14" s="527"/>
      <c r="J14" s="199"/>
      <c r="K14" s="199"/>
    </row>
    <row r="15" spans="1:13" ht="6" customHeight="1" x14ac:dyDescent="0.15"/>
    <row r="16" spans="1:13" ht="6" customHeight="1" x14ac:dyDescent="0.15">
      <c r="B16" s="203"/>
      <c r="C16" s="203"/>
      <c r="D16" s="203"/>
      <c r="E16" s="204"/>
      <c r="F16" s="204"/>
      <c r="G16" s="204"/>
      <c r="H16" s="204"/>
      <c r="I16" s="204"/>
      <c r="J16" s="204"/>
      <c r="K16" s="204"/>
      <c r="L16" s="204"/>
      <c r="M16" s="204"/>
    </row>
    <row r="17" spans="1:10" ht="6" customHeight="1" x14ac:dyDescent="0.15"/>
    <row r="18" spans="1:10" ht="15.75" customHeight="1" x14ac:dyDescent="0.2">
      <c r="B18" s="389" t="s">
        <v>349</v>
      </c>
      <c r="C18" s="186"/>
      <c r="D18" s="186"/>
      <c r="E18" s="186"/>
      <c r="F18" s="186"/>
    </row>
    <row r="19" spans="1:10" ht="6" customHeight="1" x14ac:dyDescent="0.15"/>
    <row r="20" spans="1:10" ht="13" x14ac:dyDescent="0.15">
      <c r="A20" s="187"/>
      <c r="B20" s="402" t="s">
        <v>386</v>
      </c>
      <c r="C20" s="186"/>
      <c r="D20" s="556" t="s">
        <v>67</v>
      </c>
      <c r="E20" s="556"/>
      <c r="F20" s="186" t="s">
        <v>498</v>
      </c>
    </row>
    <row r="21" spans="1:10" ht="13" x14ac:dyDescent="0.15">
      <c r="A21" s="187"/>
      <c r="B21" s="402" t="s">
        <v>387</v>
      </c>
      <c r="C21" s="186"/>
      <c r="D21" s="556" t="s">
        <v>67</v>
      </c>
      <c r="E21" s="556"/>
      <c r="F21" s="186" t="s">
        <v>499</v>
      </c>
    </row>
    <row r="22" spans="1:10" x14ac:dyDescent="0.15">
      <c r="A22" s="187"/>
      <c r="B22" s="403" t="s">
        <v>465</v>
      </c>
      <c r="C22" s="186"/>
      <c r="D22" s="365"/>
      <c r="E22" s="186"/>
      <c r="F22" s="186"/>
    </row>
    <row r="23" spans="1:10" ht="6" customHeight="1" x14ac:dyDescent="0.15">
      <c r="B23" s="186"/>
      <c r="C23" s="186"/>
      <c r="D23" s="186"/>
      <c r="E23" s="186"/>
      <c r="F23" s="186"/>
    </row>
    <row r="24" spans="1:10" ht="13" x14ac:dyDescent="0.15">
      <c r="B24" s="404" t="s">
        <v>388</v>
      </c>
      <c r="C24" s="186"/>
      <c r="D24" s="528" t="s">
        <v>243</v>
      </c>
      <c r="E24" s="528"/>
      <c r="F24" s="405"/>
    </row>
    <row r="25" spans="1:10" ht="6" customHeight="1" x14ac:dyDescent="0.15">
      <c r="B25" s="186"/>
      <c r="C25" s="186"/>
      <c r="D25" s="186"/>
      <c r="E25" s="186"/>
      <c r="F25" s="186"/>
    </row>
    <row r="26" spans="1:10" ht="6" customHeight="1" thickBot="1" x14ac:dyDescent="0.2">
      <c r="B26" s="186"/>
      <c r="C26" s="186"/>
      <c r="D26" s="186"/>
      <c r="E26" s="186"/>
      <c r="F26" s="186"/>
    </row>
    <row r="27" spans="1:10" ht="12.75" customHeight="1" x14ac:dyDescent="0.15">
      <c r="B27" s="390" t="s">
        <v>437</v>
      </c>
      <c r="C27" s="209"/>
      <c r="D27" s="209"/>
      <c r="E27" s="209"/>
      <c r="F27" s="209"/>
      <c r="G27" s="209"/>
      <c r="H27" s="209"/>
      <c r="I27" s="209"/>
      <c r="J27" s="354"/>
    </row>
    <row r="28" spans="1:10" ht="12.75" customHeight="1" thickBot="1" x14ac:dyDescent="0.2">
      <c r="B28" s="409"/>
      <c r="C28" s="186"/>
      <c r="D28" s="186"/>
      <c r="E28" s="186"/>
      <c r="F28" s="186"/>
      <c r="G28" s="186"/>
      <c r="H28" s="186"/>
      <c r="I28" s="186"/>
      <c r="J28" s="355"/>
    </row>
    <row r="29" spans="1:10" ht="12.75" customHeight="1" x14ac:dyDescent="0.15">
      <c r="B29" s="557" t="s">
        <v>327</v>
      </c>
      <c r="C29" s="558"/>
      <c r="D29" s="186"/>
      <c r="E29" s="563" t="s">
        <v>485</v>
      </c>
      <c r="F29" s="564"/>
      <c r="G29" s="564"/>
      <c r="H29" s="564"/>
      <c r="I29" s="565"/>
      <c r="J29" s="491"/>
    </row>
    <row r="30" spans="1:10" ht="12.75" customHeight="1" x14ac:dyDescent="0.15">
      <c r="B30" s="397" t="s">
        <v>329</v>
      </c>
      <c r="C30" s="366"/>
      <c r="D30" s="186"/>
      <c r="E30" s="532"/>
      <c r="F30" s="533"/>
      <c r="G30" s="533"/>
      <c r="H30" s="533"/>
      <c r="I30" s="534"/>
      <c r="J30" s="490"/>
    </row>
    <row r="31" spans="1:10" ht="13" x14ac:dyDescent="0.15">
      <c r="B31" s="398" t="s">
        <v>330</v>
      </c>
      <c r="C31" s="436"/>
      <c r="D31" s="186"/>
      <c r="E31" s="535"/>
      <c r="F31" s="536"/>
      <c r="G31" s="536"/>
      <c r="H31" s="536"/>
      <c r="I31" s="537"/>
      <c r="J31" s="490"/>
    </row>
    <row r="32" spans="1:10" ht="13" x14ac:dyDescent="0.15">
      <c r="B32" s="399" t="s">
        <v>331</v>
      </c>
      <c r="C32" s="437"/>
      <c r="D32" s="186"/>
      <c r="E32" s="535"/>
      <c r="F32" s="536"/>
      <c r="G32" s="536"/>
      <c r="H32" s="536"/>
      <c r="I32" s="537"/>
      <c r="J32" s="490"/>
    </row>
    <row r="33" spans="2:11" ht="14" thickBot="1" x14ac:dyDescent="0.2">
      <c r="B33" s="400" t="s">
        <v>332</v>
      </c>
      <c r="C33" s="438"/>
      <c r="D33" s="186"/>
      <c r="E33" s="538"/>
      <c r="F33" s="539"/>
      <c r="G33" s="539"/>
      <c r="H33" s="539"/>
      <c r="I33" s="540"/>
      <c r="J33" s="490"/>
    </row>
    <row r="34" spans="2:11" ht="13" x14ac:dyDescent="0.15">
      <c r="B34" s="401" t="s">
        <v>333</v>
      </c>
      <c r="C34" s="439"/>
      <c r="D34" s="186"/>
      <c r="E34" s="489"/>
      <c r="F34" s="489"/>
      <c r="G34" s="489"/>
      <c r="H34" s="489"/>
      <c r="I34" s="489"/>
      <c r="J34" s="490"/>
    </row>
    <row r="35" spans="2:11" ht="14" thickBot="1" x14ac:dyDescent="0.2">
      <c r="B35" s="426" t="s">
        <v>334</v>
      </c>
      <c r="C35" s="440"/>
      <c r="D35" s="186"/>
      <c r="E35" s="210"/>
      <c r="F35" s="210"/>
      <c r="G35" s="210"/>
      <c r="H35" s="210"/>
      <c r="I35" s="210"/>
      <c r="J35" s="367"/>
    </row>
    <row r="36" spans="2:11" ht="14" thickBot="1" x14ac:dyDescent="0.2">
      <c r="B36" s="409"/>
      <c r="C36" s="186"/>
      <c r="D36" s="355"/>
      <c r="E36" s="521" t="s">
        <v>262</v>
      </c>
      <c r="F36" s="522"/>
      <c r="G36" s="522"/>
      <c r="H36" s="522"/>
      <c r="I36" s="522"/>
      <c r="J36" s="523"/>
    </row>
    <row r="37" spans="2:11" ht="13" x14ac:dyDescent="0.15">
      <c r="B37" s="308"/>
      <c r="C37" s="186"/>
      <c r="D37" s="355"/>
      <c r="E37" s="391" t="s">
        <v>86</v>
      </c>
      <c r="F37" s="392" t="s">
        <v>87</v>
      </c>
      <c r="G37" s="393" t="s">
        <v>88</v>
      </c>
      <c r="H37" s="394" t="s">
        <v>89</v>
      </c>
      <c r="I37" s="395" t="s">
        <v>90</v>
      </c>
      <c r="J37" s="396" t="s">
        <v>91</v>
      </c>
    </row>
    <row r="38" spans="2:11" ht="12.75" customHeight="1" x14ac:dyDescent="0.15">
      <c r="B38" s="543" t="s">
        <v>434</v>
      </c>
      <c r="C38" s="544"/>
      <c r="D38" s="355"/>
      <c r="E38" s="383"/>
      <c r="F38" s="383"/>
      <c r="G38" s="383"/>
      <c r="H38" s="383"/>
      <c r="I38" s="383"/>
      <c r="J38" s="383"/>
    </row>
    <row r="39" spans="2:11" ht="13" x14ac:dyDescent="0.15">
      <c r="B39" s="543" t="s">
        <v>464</v>
      </c>
      <c r="C39" s="544"/>
      <c r="D39" s="355"/>
      <c r="E39" s="383"/>
      <c r="F39" s="383"/>
      <c r="G39" s="383"/>
      <c r="H39" s="383"/>
      <c r="I39" s="383"/>
      <c r="J39" s="383"/>
    </row>
    <row r="40" spans="2:11" ht="14" thickBot="1" x14ac:dyDescent="0.2">
      <c r="B40" s="543" t="s">
        <v>435</v>
      </c>
      <c r="C40" s="544"/>
      <c r="D40" s="355"/>
      <c r="E40" s="384"/>
      <c r="F40" s="384"/>
      <c r="G40" s="384"/>
      <c r="H40" s="384"/>
      <c r="I40" s="384"/>
      <c r="J40" s="384"/>
    </row>
    <row r="41" spans="2:11" ht="6" customHeight="1" thickBot="1" x14ac:dyDescent="0.2">
      <c r="B41" s="308"/>
      <c r="C41" s="186"/>
      <c r="D41" s="355"/>
      <c r="E41" s="197"/>
      <c r="F41" s="196"/>
      <c r="G41" s="196"/>
      <c r="H41" s="196"/>
      <c r="I41" s="196"/>
      <c r="J41" s="198"/>
    </row>
    <row r="42" spans="2:11" ht="13" x14ac:dyDescent="0.15">
      <c r="B42" s="543" t="s">
        <v>335</v>
      </c>
      <c r="C42" s="544"/>
      <c r="D42" s="355"/>
      <c r="E42" s="391" t="str">
        <f t="shared" ref="E42:J42" si="0">E37</f>
        <v>Typical 1</v>
      </c>
      <c r="F42" s="392" t="str">
        <f t="shared" si="0"/>
        <v>Typical 2</v>
      </c>
      <c r="G42" s="393" t="str">
        <f t="shared" si="0"/>
        <v>Typical 3</v>
      </c>
      <c r="H42" s="394" t="str">
        <f t="shared" si="0"/>
        <v>Typical 4</v>
      </c>
      <c r="I42" s="395" t="str">
        <f t="shared" si="0"/>
        <v>Typical 5</v>
      </c>
      <c r="J42" s="396" t="str">
        <f t="shared" si="0"/>
        <v>Typical 6</v>
      </c>
      <c r="K42" s="195" t="s">
        <v>398</v>
      </c>
    </row>
    <row r="43" spans="2:11" ht="11.25" customHeight="1" x14ac:dyDescent="0.15">
      <c r="B43" s="545" t="s">
        <v>336</v>
      </c>
      <c r="C43" s="516"/>
      <c r="D43" s="355"/>
      <c r="E43" s="385"/>
      <c r="F43" s="385"/>
      <c r="G43" s="385"/>
      <c r="H43" s="385"/>
      <c r="I43" s="385"/>
      <c r="J43" s="385"/>
    </row>
    <row r="44" spans="2:11" ht="11.25" customHeight="1" x14ac:dyDescent="0.15">
      <c r="B44" s="545" t="s">
        <v>337</v>
      </c>
      <c r="C44" s="516"/>
      <c r="D44" s="355"/>
      <c r="E44" s="385"/>
      <c r="F44" s="385"/>
      <c r="G44" s="385"/>
      <c r="H44" s="385"/>
      <c r="I44" s="385"/>
      <c r="J44" s="385"/>
    </row>
    <row r="45" spans="2:11" ht="11.25" customHeight="1" x14ac:dyDescent="0.15">
      <c r="B45" s="515" t="s">
        <v>338</v>
      </c>
      <c r="C45" s="516"/>
      <c r="D45" s="355"/>
      <c r="E45" s="385"/>
      <c r="F45" s="385"/>
      <c r="G45" s="385"/>
      <c r="H45" s="385"/>
      <c r="I45" s="385"/>
      <c r="J45" s="385"/>
    </row>
    <row r="46" spans="2:11" ht="11.25" customHeight="1" x14ac:dyDescent="0.15">
      <c r="B46" s="515" t="s">
        <v>339</v>
      </c>
      <c r="C46" s="516"/>
      <c r="D46" s="355"/>
      <c r="E46" s="385"/>
      <c r="F46" s="385"/>
      <c r="G46" s="385"/>
      <c r="H46" s="385"/>
      <c r="I46" s="385"/>
      <c r="J46" s="385"/>
    </row>
    <row r="47" spans="2:11" ht="11.25" customHeight="1" x14ac:dyDescent="0.15">
      <c r="B47" s="515" t="s">
        <v>340</v>
      </c>
      <c r="C47" s="516"/>
      <c r="D47" s="355"/>
      <c r="E47" s="385"/>
      <c r="F47" s="385"/>
      <c r="G47" s="385"/>
      <c r="H47" s="385"/>
      <c r="I47" s="385"/>
      <c r="J47" s="385"/>
    </row>
    <row r="48" spans="2:11" ht="11.25" customHeight="1" x14ac:dyDescent="0.15">
      <c r="B48" s="515" t="s">
        <v>341</v>
      </c>
      <c r="C48" s="516"/>
      <c r="D48" s="355"/>
      <c r="E48" s="385"/>
      <c r="F48" s="385"/>
      <c r="G48" s="385"/>
      <c r="H48" s="385"/>
      <c r="I48" s="385"/>
      <c r="J48" s="385"/>
    </row>
    <row r="49" spans="2:13" ht="11.25" customHeight="1" x14ac:dyDescent="0.15">
      <c r="B49" s="515" t="s">
        <v>342</v>
      </c>
      <c r="C49" s="516"/>
      <c r="D49" s="355"/>
      <c r="E49" s="385"/>
      <c r="F49" s="385"/>
      <c r="G49" s="385"/>
      <c r="H49" s="385"/>
      <c r="I49" s="385"/>
      <c r="J49" s="385"/>
    </row>
    <row r="50" spans="2:13" ht="11.25" customHeight="1" x14ac:dyDescent="0.15">
      <c r="B50" s="515" t="s">
        <v>343</v>
      </c>
      <c r="C50" s="516"/>
      <c r="D50" s="355"/>
      <c r="E50" s="385"/>
      <c r="F50" s="385"/>
      <c r="G50" s="385"/>
      <c r="H50" s="385"/>
      <c r="I50" s="385"/>
      <c r="J50" s="385"/>
    </row>
    <row r="51" spans="2:13" ht="11.25" customHeight="1" x14ac:dyDescent="0.15">
      <c r="B51" s="515" t="s">
        <v>344</v>
      </c>
      <c r="C51" s="516"/>
      <c r="D51" s="355"/>
      <c r="E51" s="385"/>
      <c r="F51" s="385"/>
      <c r="G51" s="385"/>
      <c r="H51" s="385"/>
      <c r="I51" s="385"/>
      <c r="J51" s="385"/>
    </row>
    <row r="52" spans="2:13" ht="11.25" customHeight="1" x14ac:dyDescent="0.15">
      <c r="B52" s="515" t="s">
        <v>345</v>
      </c>
      <c r="C52" s="516"/>
      <c r="D52" s="355"/>
      <c r="E52" s="385"/>
      <c r="F52" s="385"/>
      <c r="G52" s="385"/>
      <c r="H52" s="385"/>
      <c r="I52" s="385"/>
      <c r="J52" s="385"/>
    </row>
    <row r="53" spans="2:13" ht="11.25" customHeight="1" x14ac:dyDescent="0.15">
      <c r="B53" s="515" t="s">
        <v>346</v>
      </c>
      <c r="C53" s="516"/>
      <c r="D53" s="355"/>
      <c r="E53" s="385"/>
      <c r="F53" s="385"/>
      <c r="G53" s="385"/>
      <c r="H53" s="385"/>
      <c r="I53" s="385"/>
      <c r="J53" s="385"/>
    </row>
    <row r="54" spans="2:13" ht="11.25" customHeight="1" x14ac:dyDescent="0.15">
      <c r="B54" s="515" t="s">
        <v>347</v>
      </c>
      <c r="C54" s="516"/>
      <c r="D54" s="355"/>
      <c r="E54" s="385"/>
      <c r="F54" s="385"/>
      <c r="G54" s="385"/>
      <c r="H54" s="385"/>
      <c r="I54" s="385"/>
      <c r="J54" s="385"/>
    </row>
    <row r="55" spans="2:13" ht="11.25" customHeight="1" thickBot="1" x14ac:dyDescent="0.2">
      <c r="B55" s="541" t="s">
        <v>348</v>
      </c>
      <c r="C55" s="542"/>
      <c r="D55" s="367"/>
      <c r="E55" s="386"/>
      <c r="F55" s="386"/>
      <c r="G55" s="386"/>
      <c r="H55" s="386"/>
      <c r="I55" s="386"/>
      <c r="J55" s="386"/>
    </row>
    <row r="56" spans="2:13" ht="6" customHeight="1" thickBot="1" x14ac:dyDescent="0.2">
      <c r="E56" s="185"/>
    </row>
    <row r="57" spans="2:13" ht="12.75" customHeight="1" x14ac:dyDescent="0.15">
      <c r="B57" s="553" t="s">
        <v>436</v>
      </c>
      <c r="C57" s="554"/>
      <c r="D57" s="554"/>
      <c r="E57" s="434"/>
      <c r="G57" s="390" t="s">
        <v>487</v>
      </c>
      <c r="H57" s="406"/>
      <c r="I57" s="209"/>
      <c r="J57" s="427"/>
      <c r="K57" s="427"/>
      <c r="L57" s="427"/>
      <c r="M57" s="407"/>
    </row>
    <row r="58" spans="2:13" ht="12.75" customHeight="1" x14ac:dyDescent="0.15">
      <c r="B58" s="519" t="s">
        <v>399</v>
      </c>
      <c r="C58" s="520"/>
      <c r="D58" s="520"/>
      <c r="E58" s="435" t="s">
        <v>38</v>
      </c>
      <c r="G58" s="519" t="s">
        <v>389</v>
      </c>
      <c r="H58" s="520"/>
      <c r="I58" s="520"/>
      <c r="J58" s="428" t="s">
        <v>378</v>
      </c>
      <c r="K58" s="430" t="s">
        <v>438</v>
      </c>
      <c r="L58" s="432" t="s">
        <v>439</v>
      </c>
      <c r="M58" s="425" t="s">
        <v>383</v>
      </c>
    </row>
    <row r="59" spans="2:13" ht="11.25" customHeight="1" x14ac:dyDescent="0.15">
      <c r="B59" s="504"/>
      <c r="C59" s="505"/>
      <c r="D59" s="506"/>
      <c r="E59" s="387"/>
      <c r="G59" s="510"/>
      <c r="H59" s="511"/>
      <c r="I59" s="511"/>
      <c r="J59" s="429"/>
      <c r="K59" s="431"/>
      <c r="L59" s="433">
        <f t="shared" ref="L59:L70" si="1">K59-J59</f>
        <v>0</v>
      </c>
      <c r="M59" s="320" t="str">
        <f t="shared" ref="M59:M71" si="2">IF(K59=0,"",L59/K59)</f>
        <v/>
      </c>
    </row>
    <row r="60" spans="2:13" ht="11.25" customHeight="1" x14ac:dyDescent="0.15">
      <c r="B60" s="504"/>
      <c r="C60" s="505"/>
      <c r="D60" s="506"/>
      <c r="E60" s="387"/>
      <c r="G60" s="510"/>
      <c r="H60" s="511"/>
      <c r="I60" s="511"/>
      <c r="J60" s="429"/>
      <c r="K60" s="431"/>
      <c r="L60" s="433">
        <f t="shared" si="1"/>
        <v>0</v>
      </c>
      <c r="M60" s="320" t="str">
        <f t="shared" si="2"/>
        <v/>
      </c>
    </row>
    <row r="61" spans="2:13" ht="11.25" customHeight="1" x14ac:dyDescent="0.15">
      <c r="B61" s="504"/>
      <c r="C61" s="505"/>
      <c r="D61" s="506"/>
      <c r="E61" s="387"/>
      <c r="G61" s="510"/>
      <c r="H61" s="511"/>
      <c r="I61" s="511"/>
      <c r="J61" s="429"/>
      <c r="K61" s="431"/>
      <c r="L61" s="433">
        <f t="shared" si="1"/>
        <v>0</v>
      </c>
      <c r="M61" s="320" t="str">
        <f t="shared" si="2"/>
        <v/>
      </c>
    </row>
    <row r="62" spans="2:13" ht="11.25" customHeight="1" x14ac:dyDescent="0.15">
      <c r="B62" s="504"/>
      <c r="C62" s="505"/>
      <c r="D62" s="506"/>
      <c r="E62" s="387"/>
      <c r="G62" s="510"/>
      <c r="H62" s="511"/>
      <c r="I62" s="511"/>
      <c r="J62" s="429"/>
      <c r="K62" s="431"/>
      <c r="L62" s="433">
        <f t="shared" si="1"/>
        <v>0</v>
      </c>
      <c r="M62" s="320" t="str">
        <f t="shared" si="2"/>
        <v/>
      </c>
    </row>
    <row r="63" spans="2:13" ht="11.25" customHeight="1" x14ac:dyDescent="0.15">
      <c r="B63" s="504"/>
      <c r="C63" s="505"/>
      <c r="D63" s="506"/>
      <c r="E63" s="387"/>
      <c r="G63" s="510"/>
      <c r="H63" s="511"/>
      <c r="I63" s="511"/>
      <c r="J63" s="429"/>
      <c r="K63" s="431"/>
      <c r="L63" s="433">
        <f t="shared" si="1"/>
        <v>0</v>
      </c>
      <c r="M63" s="320" t="str">
        <f t="shared" si="2"/>
        <v/>
      </c>
    </row>
    <row r="64" spans="2:13" ht="11.25" customHeight="1" x14ac:dyDescent="0.15">
      <c r="B64" s="504"/>
      <c r="C64" s="505"/>
      <c r="D64" s="506"/>
      <c r="E64" s="388"/>
      <c r="G64" s="510"/>
      <c r="H64" s="511"/>
      <c r="I64" s="511"/>
      <c r="J64" s="429"/>
      <c r="K64" s="431"/>
      <c r="L64" s="433">
        <f t="shared" si="1"/>
        <v>0</v>
      </c>
      <c r="M64" s="320" t="str">
        <f t="shared" si="2"/>
        <v/>
      </c>
    </row>
    <row r="65" spans="2:13" ht="11.25" customHeight="1" x14ac:dyDescent="0.15">
      <c r="B65" s="504"/>
      <c r="C65" s="505"/>
      <c r="D65" s="506"/>
      <c r="E65" s="388"/>
      <c r="G65" s="510"/>
      <c r="H65" s="511"/>
      <c r="I65" s="511"/>
      <c r="J65" s="429"/>
      <c r="K65" s="431"/>
      <c r="L65" s="433">
        <f t="shared" si="1"/>
        <v>0</v>
      </c>
      <c r="M65" s="320" t="str">
        <f t="shared" si="2"/>
        <v/>
      </c>
    </row>
    <row r="66" spans="2:13" ht="11.25" customHeight="1" x14ac:dyDescent="0.15">
      <c r="B66" s="504"/>
      <c r="C66" s="505"/>
      <c r="D66" s="506"/>
      <c r="E66" s="388"/>
      <c r="G66" s="517"/>
      <c r="H66" s="518"/>
      <c r="I66" s="518"/>
      <c r="J66" s="494"/>
      <c r="K66" s="495"/>
      <c r="L66" s="496">
        <f t="shared" si="1"/>
        <v>0</v>
      </c>
      <c r="M66" s="497" t="str">
        <f t="shared" si="2"/>
        <v/>
      </c>
    </row>
    <row r="67" spans="2:13" ht="11.25" customHeight="1" x14ac:dyDescent="0.15">
      <c r="B67" s="504"/>
      <c r="C67" s="505"/>
      <c r="D67" s="506"/>
      <c r="E67" s="388"/>
      <c r="G67" s="507" t="s">
        <v>488</v>
      </c>
      <c r="H67" s="508"/>
      <c r="I67" s="509"/>
      <c r="J67" s="485"/>
      <c r="K67" s="486"/>
      <c r="L67" s="487">
        <f t="shared" si="1"/>
        <v>0</v>
      </c>
      <c r="M67" s="488" t="str">
        <f t="shared" si="2"/>
        <v/>
      </c>
    </row>
    <row r="68" spans="2:13" ht="11.25" customHeight="1" x14ac:dyDescent="0.15">
      <c r="B68" s="504"/>
      <c r="C68" s="505"/>
      <c r="D68" s="506"/>
      <c r="E68" s="388"/>
      <c r="G68" s="498"/>
      <c r="H68" s="499"/>
      <c r="I68" s="500"/>
      <c r="J68" s="429"/>
      <c r="K68" s="431"/>
      <c r="L68" s="433">
        <f t="shared" si="1"/>
        <v>0</v>
      </c>
      <c r="M68" s="320" t="str">
        <f t="shared" si="2"/>
        <v/>
      </c>
    </row>
    <row r="69" spans="2:13" ht="11.25" customHeight="1" x14ac:dyDescent="0.15">
      <c r="B69" s="512"/>
      <c r="C69" s="513"/>
      <c r="D69" s="514"/>
      <c r="E69" s="492"/>
      <c r="G69" s="498"/>
      <c r="H69" s="499"/>
      <c r="I69" s="500"/>
      <c r="J69" s="429"/>
      <c r="K69" s="431"/>
      <c r="L69" s="433">
        <f t="shared" si="1"/>
        <v>0</v>
      </c>
      <c r="M69" s="320" t="str">
        <f t="shared" si="2"/>
        <v/>
      </c>
    </row>
    <row r="70" spans="2:13" ht="11.25" customHeight="1" x14ac:dyDescent="0.15">
      <c r="B70" s="512"/>
      <c r="C70" s="513"/>
      <c r="D70" s="514"/>
      <c r="E70" s="492"/>
      <c r="G70" s="498"/>
      <c r="H70" s="499"/>
      <c r="I70" s="500"/>
      <c r="J70" s="429"/>
      <c r="K70" s="431"/>
      <c r="L70" s="433">
        <f t="shared" si="1"/>
        <v>0</v>
      </c>
      <c r="M70" s="320" t="str">
        <f t="shared" si="2"/>
        <v/>
      </c>
    </row>
    <row r="71" spans="2:13" ht="11.25" customHeight="1" thickBot="1" x14ac:dyDescent="0.2">
      <c r="B71" s="501"/>
      <c r="C71" s="502"/>
      <c r="D71" s="503"/>
      <c r="E71" s="493"/>
      <c r="G71" s="443" t="s">
        <v>489</v>
      </c>
      <c r="H71" s="444"/>
      <c r="I71" s="210"/>
      <c r="J71" s="445">
        <f>SUM(J59:J70)</f>
        <v>0</v>
      </c>
      <c r="K71" s="446">
        <f>SUM(K59:K70)</f>
        <v>0</v>
      </c>
      <c r="L71" s="447">
        <f>SUM(L59:L70)</f>
        <v>0</v>
      </c>
      <c r="M71" s="448" t="str">
        <f t="shared" si="2"/>
        <v/>
      </c>
    </row>
    <row r="72" spans="2:13" s="109" customFormat="1" ht="6" customHeight="1" x14ac:dyDescent="0.15">
      <c r="L72" s="348"/>
    </row>
    <row r="73" spans="2:13" ht="6" customHeight="1" x14ac:dyDescent="0.15">
      <c r="B73" s="203"/>
      <c r="C73" s="203"/>
      <c r="D73" s="203"/>
      <c r="E73" s="204"/>
      <c r="F73" s="204"/>
      <c r="G73" s="204"/>
      <c r="H73" s="204"/>
      <c r="I73" s="204"/>
      <c r="J73" s="204"/>
      <c r="K73" s="204"/>
      <c r="L73" s="204"/>
      <c r="M73" s="204"/>
    </row>
    <row r="74" spans="2:13" s="109" customFormat="1" ht="6" customHeight="1" thickBot="1" x14ac:dyDescent="0.2"/>
    <row r="75" spans="2:13" ht="24.75" customHeight="1" x14ac:dyDescent="0.2">
      <c r="B75" s="441" t="s">
        <v>462</v>
      </c>
      <c r="C75" s="209"/>
      <c r="D75" s="209"/>
      <c r="E75" s="211" t="str">
        <f t="shared" ref="E75:J75" si="3">E37</f>
        <v>Typical 1</v>
      </c>
      <c r="F75" s="211" t="str">
        <f t="shared" si="3"/>
        <v>Typical 2</v>
      </c>
      <c r="G75" s="211" t="str">
        <f t="shared" si="3"/>
        <v>Typical 3</v>
      </c>
      <c r="H75" s="211" t="str">
        <f t="shared" si="3"/>
        <v>Typical 4</v>
      </c>
      <c r="I75" s="211" t="str">
        <f t="shared" si="3"/>
        <v>Typical 5</v>
      </c>
      <c r="J75" s="211" t="str">
        <f t="shared" si="3"/>
        <v>Typical 6</v>
      </c>
      <c r="K75" s="368" t="s">
        <v>430</v>
      </c>
      <c r="L75" s="368" t="s">
        <v>429</v>
      </c>
      <c r="M75" s="211" t="s">
        <v>98</v>
      </c>
    </row>
    <row r="76" spans="2:13" ht="11.25" customHeight="1" x14ac:dyDescent="0.15">
      <c r="B76" s="326" t="s">
        <v>451</v>
      </c>
      <c r="C76" s="186"/>
      <c r="D76" s="186"/>
      <c r="E76" s="213">
        <f>'Ind Std Execution and Pricing'!E6</f>
        <v>0</v>
      </c>
      <c r="F76" s="213">
        <f>'Ind Std Execution and Pricing'!F6</f>
        <v>0</v>
      </c>
      <c r="G76" s="213">
        <f>'Ind Std Execution and Pricing'!G6</f>
        <v>0</v>
      </c>
      <c r="H76" s="213">
        <f>'Ind Std Execution and Pricing'!H6</f>
        <v>0</v>
      </c>
      <c r="I76" s="213">
        <f>'Ind Std Execution and Pricing'!I6</f>
        <v>0</v>
      </c>
      <c r="J76" s="213">
        <f>'Ind Std Execution and Pricing'!J6</f>
        <v>0</v>
      </c>
      <c r="K76" s="410">
        <f>'Ind Std Execution and Pricing'!K6</f>
        <v>0</v>
      </c>
      <c r="L76" s="410">
        <f>'Ind Std Execution and Pricing'!L6</f>
        <v>0</v>
      </c>
      <c r="M76" s="415">
        <f>'Ind Std Execution and Pricing'!M6</f>
        <v>0</v>
      </c>
    </row>
    <row r="77" spans="2:13" ht="11.25" customHeight="1" x14ac:dyDescent="0.15">
      <c r="B77" s="326" t="s">
        <v>452</v>
      </c>
      <c r="C77" s="186"/>
      <c r="D77" s="186"/>
      <c r="E77" s="213">
        <f>'Ind Std Execution and Pricing'!E7</f>
        <v>0</v>
      </c>
      <c r="F77" s="213">
        <f>'Ind Std Execution and Pricing'!F7</f>
        <v>0</v>
      </c>
      <c r="G77" s="213">
        <f>'Ind Std Execution and Pricing'!G7</f>
        <v>0</v>
      </c>
      <c r="H77" s="213">
        <f>'Ind Std Execution and Pricing'!H7</f>
        <v>0</v>
      </c>
      <c r="I77" s="213">
        <f>'Ind Std Execution and Pricing'!I7</f>
        <v>0</v>
      </c>
      <c r="J77" s="213">
        <f>'Ind Std Execution and Pricing'!J7</f>
        <v>0</v>
      </c>
      <c r="K77" s="411">
        <f>'Ind Std Execution and Pricing'!K7</f>
        <v>0</v>
      </c>
      <c r="L77" s="410">
        <f>'Ind Std Execution and Pricing'!L7</f>
        <v>0</v>
      </c>
      <c r="M77" s="415">
        <f>'Ind Std Execution and Pricing'!M7</f>
        <v>0</v>
      </c>
    </row>
    <row r="78" spans="2:13" ht="11.25" customHeight="1" x14ac:dyDescent="0.15">
      <c r="B78" s="326" t="s">
        <v>453</v>
      </c>
      <c r="C78" s="186"/>
      <c r="D78" s="186"/>
      <c r="E78" s="212">
        <f>'Build Industry Std Job Quote'!I13</f>
        <v>0</v>
      </c>
      <c r="F78" s="212">
        <f>'Build Industry Std Job Quote'!I14</f>
        <v>0</v>
      </c>
      <c r="G78" s="212">
        <f>'Build Industry Std Job Quote'!I15</f>
        <v>0</v>
      </c>
      <c r="H78" s="212">
        <f>'Build Industry Std Job Quote'!I16</f>
        <v>0</v>
      </c>
      <c r="I78" s="212">
        <f>'Build Industry Std Job Quote'!I17</f>
        <v>0</v>
      </c>
      <c r="J78" s="212">
        <f>'Build Industry Std Job Quote'!I18</f>
        <v>0</v>
      </c>
      <c r="K78" s="373">
        <f>'Build Industry Std Job Quote'!I19</f>
        <v>0</v>
      </c>
      <c r="L78" s="262">
        <f>'Build Industry Std Job Quote'!I34</f>
        <v>0</v>
      </c>
      <c r="M78" s="371">
        <f>'Build Industry Std Job Quote'!I36</f>
        <v>0</v>
      </c>
    </row>
    <row r="79" spans="2:13" ht="6" customHeight="1" x14ac:dyDescent="0.15">
      <c r="B79" s="326"/>
      <c r="C79" s="186"/>
      <c r="D79" s="186"/>
      <c r="E79" s="212"/>
      <c r="F79" s="212"/>
      <c r="G79" s="212"/>
      <c r="H79" s="212"/>
      <c r="I79" s="212"/>
      <c r="J79" s="212"/>
      <c r="K79" s="373"/>
      <c r="L79" s="416"/>
      <c r="M79" s="417"/>
    </row>
    <row r="80" spans="2:13" x14ac:dyDescent="0.15">
      <c r="B80" s="356" t="s">
        <v>440</v>
      </c>
      <c r="C80" s="186"/>
      <c r="D80" s="186"/>
      <c r="E80" s="206">
        <f>'Ind Std Execution and Pricing'!E18</f>
        <v>0</v>
      </c>
      <c r="F80" s="206">
        <f>'Ind Std Execution and Pricing'!F18</f>
        <v>0</v>
      </c>
      <c r="G80" s="206">
        <f>'Ind Std Execution and Pricing'!G18</f>
        <v>0</v>
      </c>
      <c r="H80" s="206">
        <f>'Ind Std Execution and Pricing'!H18</f>
        <v>0</v>
      </c>
      <c r="I80" s="206">
        <f>'Ind Std Execution and Pricing'!I18</f>
        <v>0</v>
      </c>
      <c r="J80" s="206">
        <f>'Ind Std Execution and Pricing'!J18</f>
        <v>0</v>
      </c>
      <c r="K80" s="412">
        <f>SUM(E80:J80)</f>
        <v>0</v>
      </c>
      <c r="L80" s="416">
        <f>'Ind Std Execution and Pricing'!L18</f>
        <v>0</v>
      </c>
      <c r="M80" s="417">
        <f>K80+L80</f>
        <v>0</v>
      </c>
    </row>
    <row r="81" spans="2:13" ht="6" customHeight="1" x14ac:dyDescent="0.15">
      <c r="B81" s="326"/>
      <c r="C81" s="186"/>
      <c r="D81" s="186"/>
      <c r="E81" s="212"/>
      <c r="F81" s="212"/>
      <c r="G81" s="212"/>
      <c r="H81" s="212"/>
      <c r="I81" s="212"/>
      <c r="J81" s="212"/>
      <c r="K81" s="373"/>
      <c r="L81" s="416"/>
      <c r="M81" s="417"/>
    </row>
    <row r="82" spans="2:13" ht="11.25" customHeight="1" x14ac:dyDescent="0.15">
      <c r="B82" s="357" t="s">
        <v>454</v>
      </c>
      <c r="C82" s="186"/>
      <c r="D82" s="294"/>
      <c r="E82" s="295">
        <f>'ROC  Execution and Pricing'!E31</f>
        <v>0</v>
      </c>
      <c r="F82" s="295">
        <f>'ROC  Execution and Pricing'!F31</f>
        <v>0</v>
      </c>
      <c r="G82" s="295">
        <f>'ROC  Execution and Pricing'!G31</f>
        <v>0</v>
      </c>
      <c r="H82" s="295">
        <f>'ROC  Execution and Pricing'!H31</f>
        <v>0</v>
      </c>
      <c r="I82" s="295">
        <f>'ROC  Execution and Pricing'!I31</f>
        <v>0</v>
      </c>
      <c r="J82" s="295">
        <f>'ROC  Execution and Pricing'!J31</f>
        <v>0</v>
      </c>
      <c r="K82" s="413">
        <f>SUM(E82:J82)</f>
        <v>0</v>
      </c>
      <c r="L82" s="418">
        <f>'ROC  Execution and Pricing'!L31</f>
        <v>0</v>
      </c>
      <c r="M82" s="419">
        <f>K82+L82</f>
        <v>0</v>
      </c>
    </row>
    <row r="83" spans="2:13" ht="12.75" customHeight="1" x14ac:dyDescent="0.15">
      <c r="B83" s="357" t="s">
        <v>413</v>
      </c>
      <c r="C83" s="186"/>
      <c r="D83" s="294"/>
      <c r="E83" s="296" t="str">
        <f t="shared" ref="E83:K83" si="4">IF(E86&gt;E82,"Problem", "OK")</f>
        <v>OK</v>
      </c>
      <c r="F83" s="296" t="str">
        <f t="shared" si="4"/>
        <v>OK</v>
      </c>
      <c r="G83" s="296" t="str">
        <f t="shared" si="4"/>
        <v>OK</v>
      </c>
      <c r="H83" s="296" t="str">
        <f t="shared" si="4"/>
        <v>OK</v>
      </c>
      <c r="I83" s="296" t="str">
        <f t="shared" si="4"/>
        <v>OK</v>
      </c>
      <c r="J83" s="296" t="str">
        <f t="shared" si="4"/>
        <v>OK</v>
      </c>
      <c r="K83" s="297" t="str">
        <f t="shared" si="4"/>
        <v>OK</v>
      </c>
      <c r="L83" s="297" t="str">
        <f>IF(L86&gt;L82,"Problem", "OK")</f>
        <v>OK</v>
      </c>
      <c r="M83" s="296" t="str">
        <f>IF(M86&gt;M82,"Problem", "OK")</f>
        <v>OK</v>
      </c>
    </row>
    <row r="84" spans="2:13" ht="15.75" customHeight="1" x14ac:dyDescent="0.2">
      <c r="B84" s="462" t="s">
        <v>458</v>
      </c>
      <c r="C84" s="186"/>
      <c r="D84" s="186"/>
      <c r="E84" s="212"/>
      <c r="F84" s="212"/>
      <c r="G84" s="212"/>
      <c r="H84" s="212"/>
      <c r="I84" s="212"/>
      <c r="J84" s="212"/>
      <c r="K84" s="373"/>
      <c r="L84" s="416"/>
      <c r="M84" s="417"/>
    </row>
    <row r="85" spans="2:13" x14ac:dyDescent="0.15">
      <c r="B85" s="358" t="s">
        <v>455</v>
      </c>
      <c r="C85" s="221"/>
      <c r="D85" s="221"/>
      <c r="E85" s="349"/>
      <c r="F85" s="349"/>
      <c r="G85" s="349"/>
      <c r="H85" s="349"/>
      <c r="I85" s="349"/>
      <c r="J85" s="349"/>
      <c r="K85" s="298" t="str">
        <f>'Ind Std Execution and Pricing'!K20</f>
        <v/>
      </c>
      <c r="L85" s="420"/>
      <c r="M85" s="222" t="str">
        <f>'Ind Std Execution and Pricing'!M20</f>
        <v/>
      </c>
    </row>
    <row r="86" spans="2:13" x14ac:dyDescent="0.15">
      <c r="B86" s="359" t="s">
        <v>414</v>
      </c>
      <c r="C86" s="186"/>
      <c r="D86" s="186"/>
      <c r="E86" s="207">
        <f>'Ind Std Execution and Pricing'!E31</f>
        <v>0</v>
      </c>
      <c r="F86" s="207">
        <f>'Ind Std Execution and Pricing'!F31</f>
        <v>0</v>
      </c>
      <c r="G86" s="207">
        <f>'Ind Std Execution and Pricing'!G31</f>
        <v>0</v>
      </c>
      <c r="H86" s="207">
        <f>'Ind Std Execution and Pricing'!H31</f>
        <v>0</v>
      </c>
      <c r="I86" s="207">
        <f>'Ind Std Execution and Pricing'!I31</f>
        <v>0</v>
      </c>
      <c r="J86" s="207">
        <f>'Ind Std Execution and Pricing'!J31</f>
        <v>0</v>
      </c>
      <c r="K86" s="414">
        <f>SUM(E86:J86)</f>
        <v>0</v>
      </c>
      <c r="L86" s="421">
        <f>'Ind Std Execution and Pricing'!L31</f>
        <v>0</v>
      </c>
      <c r="M86" s="422">
        <f>K86+L86</f>
        <v>0</v>
      </c>
    </row>
    <row r="87" spans="2:13" hidden="1" x14ac:dyDescent="0.15">
      <c r="B87" s="359" t="s">
        <v>415</v>
      </c>
      <c r="C87" s="186"/>
      <c r="D87" s="186"/>
      <c r="E87" s="207">
        <f>'Ind Std Execution and Pricing'!E33</f>
        <v>0</v>
      </c>
      <c r="F87" s="207">
        <f>'Ind Std Execution and Pricing'!F33</f>
        <v>0</v>
      </c>
      <c r="G87" s="207">
        <f>'Ind Std Execution and Pricing'!G33</f>
        <v>0</v>
      </c>
      <c r="H87" s="207">
        <f>'Ind Std Execution and Pricing'!H33</f>
        <v>0</v>
      </c>
      <c r="I87" s="207">
        <f>'Ind Std Execution and Pricing'!I33</f>
        <v>0</v>
      </c>
      <c r="J87" s="207">
        <f>'Ind Std Execution and Pricing'!J33</f>
        <v>0</v>
      </c>
      <c r="K87" s="414">
        <f>SUM(E87:J87)</f>
        <v>0</v>
      </c>
      <c r="L87" s="421">
        <f>'Ind Std Execution and Pricing'!L33</f>
        <v>0</v>
      </c>
      <c r="M87" s="422">
        <f>K87+L87</f>
        <v>0</v>
      </c>
    </row>
    <row r="88" spans="2:13" x14ac:dyDescent="0.15">
      <c r="B88" s="359" t="s">
        <v>358</v>
      </c>
      <c r="C88" s="186"/>
      <c r="D88" s="186"/>
      <c r="E88" s="216" t="str">
        <f t="shared" ref="E88:J88" si="5">IF(E38=0,"",E86/E38)</f>
        <v/>
      </c>
      <c r="F88" s="216" t="str">
        <f t="shared" si="5"/>
        <v/>
      </c>
      <c r="G88" s="216" t="str">
        <f t="shared" si="5"/>
        <v/>
      </c>
      <c r="H88" s="216" t="str">
        <f t="shared" si="5"/>
        <v/>
      </c>
      <c r="I88" s="216" t="str">
        <f t="shared" si="5"/>
        <v/>
      </c>
      <c r="J88" s="216" t="str">
        <f t="shared" si="5"/>
        <v/>
      </c>
      <c r="K88" s="378" t="str">
        <f>IF(SUM(E38:J38)=0,"",K86/SUM(E38:J38))</f>
        <v/>
      </c>
      <c r="L88" s="421"/>
      <c r="M88" s="423"/>
    </row>
    <row r="89" spans="2:13" ht="6" customHeight="1" x14ac:dyDescent="0.15">
      <c r="B89" s="308"/>
      <c r="C89" s="186"/>
      <c r="D89" s="186"/>
      <c r="E89" s="208"/>
      <c r="F89" s="208"/>
      <c r="G89" s="208"/>
      <c r="H89" s="208"/>
      <c r="I89" s="208"/>
      <c r="J89" s="208"/>
      <c r="K89" s="214"/>
      <c r="L89" s="214"/>
      <c r="M89" s="424"/>
    </row>
    <row r="90" spans="2:13" ht="11.25" customHeight="1" x14ac:dyDescent="0.15">
      <c r="B90" s="326" t="s">
        <v>456</v>
      </c>
      <c r="C90" s="186"/>
      <c r="D90" s="186"/>
      <c r="E90" s="208"/>
      <c r="F90" s="208"/>
      <c r="G90" s="208"/>
      <c r="H90" s="208"/>
      <c r="I90" s="208"/>
      <c r="J90" s="208"/>
      <c r="K90" s="214"/>
      <c r="L90" s="214"/>
      <c r="M90" s="424"/>
    </row>
    <row r="91" spans="2:13" ht="11.25" hidden="1" customHeight="1" outlineLevel="1" x14ac:dyDescent="0.15">
      <c r="B91" s="326" t="s">
        <v>421</v>
      </c>
      <c r="C91" s="214"/>
      <c r="D91" s="214"/>
      <c r="E91" s="369">
        <f>'Ind Std Execution and Pricing'!E23</f>
        <v>0</v>
      </c>
      <c r="F91" s="369">
        <f>'Ind Std Execution and Pricing'!F23</f>
        <v>0</v>
      </c>
      <c r="G91" s="369">
        <f>'Ind Std Execution and Pricing'!G23</f>
        <v>0</v>
      </c>
      <c r="H91" s="369">
        <f>'Ind Std Execution and Pricing'!H23</f>
        <v>0</v>
      </c>
      <c r="I91" s="369">
        <f>'Ind Std Execution and Pricing'!I23</f>
        <v>0</v>
      </c>
      <c r="J91" s="369">
        <f>'Ind Std Execution and Pricing'!J23</f>
        <v>0</v>
      </c>
      <c r="K91" s="262">
        <f>'Ind Std Execution and Pricing'!K23</f>
        <v>0</v>
      </c>
      <c r="L91" s="262">
        <f>'Ind Std Execution and Pricing'!L23</f>
        <v>0</v>
      </c>
      <c r="M91" s="371">
        <f>'Ind Std Execution and Pricing'!M23</f>
        <v>0</v>
      </c>
    </row>
    <row r="92" spans="2:13" ht="11.25" hidden="1" customHeight="1" outlineLevel="1" x14ac:dyDescent="0.15">
      <c r="B92" s="326" t="s">
        <v>422</v>
      </c>
      <c r="C92" s="214"/>
      <c r="D92" s="214"/>
      <c r="E92" s="369">
        <f>'Ind Std Execution and Pricing'!E24</f>
        <v>0</v>
      </c>
      <c r="F92" s="369">
        <f>'Ind Std Execution and Pricing'!F24</f>
        <v>0</v>
      </c>
      <c r="G92" s="369">
        <f>'Ind Std Execution and Pricing'!G24</f>
        <v>0</v>
      </c>
      <c r="H92" s="369">
        <f>'Ind Std Execution and Pricing'!H24</f>
        <v>0</v>
      </c>
      <c r="I92" s="369">
        <f>'Ind Std Execution and Pricing'!I24</f>
        <v>0</v>
      </c>
      <c r="J92" s="369">
        <f>'Ind Std Execution and Pricing'!J24</f>
        <v>0</v>
      </c>
      <c r="K92" s="262">
        <f>'Ind Std Execution and Pricing'!K24</f>
        <v>0</v>
      </c>
      <c r="L92" s="262">
        <f>'Ind Std Execution and Pricing'!L24</f>
        <v>0</v>
      </c>
      <c r="M92" s="371">
        <f>'Ind Std Execution and Pricing'!M24</f>
        <v>0</v>
      </c>
    </row>
    <row r="93" spans="2:13" ht="11.25" hidden="1" customHeight="1" outlineLevel="1" x14ac:dyDescent="0.15">
      <c r="B93" s="326" t="s">
        <v>423</v>
      </c>
      <c r="C93" s="214"/>
      <c r="D93" s="214"/>
      <c r="E93" s="369">
        <f>'Ind Std Execution and Pricing'!E25</f>
        <v>0</v>
      </c>
      <c r="F93" s="369">
        <f>'Ind Std Execution and Pricing'!F25</f>
        <v>0</v>
      </c>
      <c r="G93" s="369">
        <f>'Ind Std Execution and Pricing'!G25</f>
        <v>0</v>
      </c>
      <c r="H93" s="369">
        <f>'Ind Std Execution and Pricing'!H25</f>
        <v>0</v>
      </c>
      <c r="I93" s="369">
        <f>'Ind Std Execution and Pricing'!I25</f>
        <v>0</v>
      </c>
      <c r="J93" s="369">
        <f>'Ind Std Execution and Pricing'!J25</f>
        <v>0</v>
      </c>
      <c r="K93" s="262">
        <f>'Ind Std Execution and Pricing'!K25</f>
        <v>0</v>
      </c>
      <c r="L93" s="262">
        <f>'Ind Std Execution and Pricing'!L25</f>
        <v>0</v>
      </c>
      <c r="M93" s="371">
        <f>'Ind Std Execution and Pricing'!M25</f>
        <v>0</v>
      </c>
    </row>
    <row r="94" spans="2:13" ht="11.25" hidden="1" customHeight="1" outlineLevel="1" x14ac:dyDescent="0.15">
      <c r="B94" s="326" t="s">
        <v>424</v>
      </c>
      <c r="C94" s="214"/>
      <c r="D94" s="214"/>
      <c r="E94" s="369">
        <f>'Ind Std Execution and Pricing'!E26</f>
        <v>0</v>
      </c>
      <c r="F94" s="369">
        <f>'Ind Std Execution and Pricing'!F26</f>
        <v>0</v>
      </c>
      <c r="G94" s="369">
        <f>'Ind Std Execution and Pricing'!G26</f>
        <v>0</v>
      </c>
      <c r="H94" s="369">
        <f>'Ind Std Execution and Pricing'!H26</f>
        <v>0</v>
      </c>
      <c r="I94" s="369">
        <f>'Ind Std Execution and Pricing'!I26</f>
        <v>0</v>
      </c>
      <c r="J94" s="369">
        <f>'Ind Std Execution and Pricing'!J26</f>
        <v>0</v>
      </c>
      <c r="K94" s="262">
        <f>'Ind Std Execution and Pricing'!K26</f>
        <v>0</v>
      </c>
      <c r="L94" s="262">
        <f>'Ind Std Execution and Pricing'!L26</f>
        <v>0</v>
      </c>
      <c r="M94" s="371">
        <f>'Ind Std Execution and Pricing'!M26</f>
        <v>0</v>
      </c>
    </row>
    <row r="95" spans="2:13" ht="11.25" hidden="1" customHeight="1" outlineLevel="1" x14ac:dyDescent="0.15">
      <c r="B95" s="326" t="s">
        <v>425</v>
      </c>
      <c r="C95" s="214"/>
      <c r="D95" s="214"/>
      <c r="E95" s="369">
        <f>'Ind Std Execution and Pricing'!E27</f>
        <v>0</v>
      </c>
      <c r="F95" s="369">
        <f>'Ind Std Execution and Pricing'!F27</f>
        <v>0</v>
      </c>
      <c r="G95" s="369">
        <f>'Ind Std Execution and Pricing'!G27</f>
        <v>0</v>
      </c>
      <c r="H95" s="369">
        <f>'Ind Std Execution and Pricing'!H27</f>
        <v>0</v>
      </c>
      <c r="I95" s="369">
        <f>'Ind Std Execution and Pricing'!I27</f>
        <v>0</v>
      </c>
      <c r="J95" s="369">
        <f>'Ind Std Execution and Pricing'!J27</f>
        <v>0</v>
      </c>
      <c r="K95" s="262">
        <f>'Ind Std Execution and Pricing'!K27</f>
        <v>0</v>
      </c>
      <c r="L95" s="262">
        <f>'Ind Std Execution and Pricing'!L27</f>
        <v>0</v>
      </c>
      <c r="M95" s="371">
        <f>'Ind Std Execution and Pricing'!M27</f>
        <v>0</v>
      </c>
    </row>
    <row r="96" spans="2:13" ht="11.25" hidden="1" customHeight="1" outlineLevel="1" x14ac:dyDescent="0.15">
      <c r="B96" s="326" t="s">
        <v>426</v>
      </c>
      <c r="C96" s="214"/>
      <c r="D96" s="214"/>
      <c r="E96" s="369">
        <f>'Ind Std Execution and Pricing'!E28</f>
        <v>0</v>
      </c>
      <c r="F96" s="369">
        <f>'Ind Std Execution and Pricing'!F28</f>
        <v>0</v>
      </c>
      <c r="G96" s="369">
        <f>'Ind Std Execution and Pricing'!G28</f>
        <v>0</v>
      </c>
      <c r="H96" s="369">
        <f>'Ind Std Execution and Pricing'!H28</f>
        <v>0</v>
      </c>
      <c r="I96" s="369">
        <f>'Ind Std Execution and Pricing'!I28</f>
        <v>0</v>
      </c>
      <c r="J96" s="369">
        <f>'Ind Std Execution and Pricing'!J28</f>
        <v>0</v>
      </c>
      <c r="K96" s="262">
        <f>'Ind Std Execution and Pricing'!K28</f>
        <v>0</v>
      </c>
      <c r="L96" s="262">
        <f>'Ind Std Execution and Pricing'!L28</f>
        <v>0</v>
      </c>
      <c r="M96" s="371">
        <f>'Ind Std Execution and Pricing'!M28</f>
        <v>0</v>
      </c>
    </row>
    <row r="97" spans="2:13" ht="11.25" hidden="1" customHeight="1" outlineLevel="1" x14ac:dyDescent="0.15">
      <c r="B97" s="326" t="s">
        <v>427</v>
      </c>
      <c r="C97" s="214"/>
      <c r="D97" s="214"/>
      <c r="E97" s="369">
        <f>'Ind Std Execution and Pricing'!E29</f>
        <v>0</v>
      </c>
      <c r="F97" s="369">
        <f>'Ind Std Execution and Pricing'!F29</f>
        <v>0</v>
      </c>
      <c r="G97" s="369">
        <f>'Ind Std Execution and Pricing'!G29</f>
        <v>0</v>
      </c>
      <c r="H97" s="369">
        <f>'Ind Std Execution and Pricing'!H29</f>
        <v>0</v>
      </c>
      <c r="I97" s="369">
        <f>'Ind Std Execution and Pricing'!I29</f>
        <v>0</v>
      </c>
      <c r="J97" s="369">
        <f>'Ind Std Execution and Pricing'!J29</f>
        <v>0</v>
      </c>
      <c r="K97" s="262">
        <f>'Ind Std Execution and Pricing'!K29</f>
        <v>0</v>
      </c>
      <c r="L97" s="262">
        <f>'Ind Std Execution and Pricing'!L29</f>
        <v>0</v>
      </c>
      <c r="M97" s="371">
        <f>'Ind Std Execution and Pricing'!M29</f>
        <v>0</v>
      </c>
    </row>
    <row r="98" spans="2:13" ht="11.25" hidden="1" customHeight="1" outlineLevel="1" x14ac:dyDescent="0.15">
      <c r="B98" s="326" t="s">
        <v>428</v>
      </c>
      <c r="C98" s="214"/>
      <c r="D98" s="214"/>
      <c r="E98" s="369">
        <f>'Ind Std Execution and Pricing'!E30</f>
        <v>0</v>
      </c>
      <c r="F98" s="369">
        <f>'Ind Std Execution and Pricing'!F30</f>
        <v>0</v>
      </c>
      <c r="G98" s="369">
        <f>'Ind Std Execution and Pricing'!G30</f>
        <v>0</v>
      </c>
      <c r="H98" s="369">
        <f>'Ind Std Execution and Pricing'!H30</f>
        <v>0</v>
      </c>
      <c r="I98" s="369">
        <f>'Ind Std Execution and Pricing'!I30</f>
        <v>0</v>
      </c>
      <c r="J98" s="369">
        <f>'Ind Std Execution and Pricing'!J30</f>
        <v>0</v>
      </c>
      <c r="K98" s="262">
        <f>'Ind Std Execution and Pricing'!K30</f>
        <v>0</v>
      </c>
      <c r="L98" s="262">
        <f>'Ind Std Execution and Pricing'!L30</f>
        <v>0</v>
      </c>
      <c r="M98" s="371">
        <f>'Ind Std Execution and Pricing'!M30</f>
        <v>0</v>
      </c>
    </row>
    <row r="99" spans="2:13" ht="11.25" hidden="1" customHeight="1" outlineLevel="1" x14ac:dyDescent="0.15">
      <c r="B99" s="326"/>
      <c r="C99" s="214"/>
      <c r="D99" s="214"/>
      <c r="E99" s="369"/>
      <c r="F99" s="369"/>
      <c r="G99" s="369"/>
      <c r="H99" s="369"/>
      <c r="I99" s="369"/>
      <c r="J99" s="369"/>
      <c r="K99" s="262"/>
      <c r="L99" s="262"/>
      <c r="M99" s="371"/>
    </row>
    <row r="100" spans="2:13" ht="11.25" customHeight="1" collapsed="1" x14ac:dyDescent="0.15">
      <c r="B100" s="326" t="s">
        <v>431</v>
      </c>
      <c r="C100" s="214"/>
      <c r="D100" s="214"/>
      <c r="E100" s="370">
        <f t="shared" ref="E100:M100" si="6">SUM(E91:E92)</f>
        <v>0</v>
      </c>
      <c r="F100" s="370">
        <f t="shared" si="6"/>
        <v>0</v>
      </c>
      <c r="G100" s="370">
        <f t="shared" si="6"/>
        <v>0</v>
      </c>
      <c r="H100" s="370">
        <f t="shared" si="6"/>
        <v>0</v>
      </c>
      <c r="I100" s="370">
        <f t="shared" si="6"/>
        <v>0</v>
      </c>
      <c r="J100" s="370">
        <f t="shared" si="6"/>
        <v>0</v>
      </c>
      <c r="K100" s="373">
        <f t="shared" si="6"/>
        <v>0</v>
      </c>
      <c r="L100" s="373">
        <f t="shared" si="6"/>
        <v>0</v>
      </c>
      <c r="M100" s="372">
        <f t="shared" si="6"/>
        <v>0</v>
      </c>
    </row>
    <row r="101" spans="2:13" ht="11.25" customHeight="1" x14ac:dyDescent="0.15">
      <c r="B101" s="326" t="s">
        <v>432</v>
      </c>
      <c r="C101" s="214"/>
      <c r="D101" s="214"/>
      <c r="E101" s="370">
        <f t="shared" ref="E101:M101" si="7">SUM(E93:E94)</f>
        <v>0</v>
      </c>
      <c r="F101" s="370">
        <f t="shared" si="7"/>
        <v>0</v>
      </c>
      <c r="G101" s="370">
        <f t="shared" si="7"/>
        <v>0</v>
      </c>
      <c r="H101" s="370">
        <f t="shared" si="7"/>
        <v>0</v>
      </c>
      <c r="I101" s="370">
        <f t="shared" si="7"/>
        <v>0</v>
      </c>
      <c r="J101" s="370">
        <f t="shared" si="7"/>
        <v>0</v>
      </c>
      <c r="K101" s="373">
        <f t="shared" si="7"/>
        <v>0</v>
      </c>
      <c r="L101" s="373">
        <f t="shared" si="7"/>
        <v>0</v>
      </c>
      <c r="M101" s="372">
        <f t="shared" si="7"/>
        <v>0</v>
      </c>
    </row>
    <row r="102" spans="2:13" ht="11.25" customHeight="1" x14ac:dyDescent="0.15">
      <c r="B102" s="326" t="s">
        <v>433</v>
      </c>
      <c r="C102" s="214"/>
      <c r="D102" s="214"/>
      <c r="E102" s="370">
        <f t="shared" ref="E102:M102" si="8">SUM(E95:E98)</f>
        <v>0</v>
      </c>
      <c r="F102" s="370">
        <f t="shared" si="8"/>
        <v>0</v>
      </c>
      <c r="G102" s="370">
        <f t="shared" si="8"/>
        <v>0</v>
      </c>
      <c r="H102" s="370">
        <f t="shared" si="8"/>
        <v>0</v>
      </c>
      <c r="I102" s="370">
        <f t="shared" si="8"/>
        <v>0</v>
      </c>
      <c r="J102" s="370">
        <f t="shared" si="8"/>
        <v>0</v>
      </c>
      <c r="K102" s="373">
        <f t="shared" si="8"/>
        <v>0</v>
      </c>
      <c r="L102" s="373">
        <f t="shared" si="8"/>
        <v>0</v>
      </c>
      <c r="M102" s="372">
        <f t="shared" si="8"/>
        <v>0</v>
      </c>
    </row>
    <row r="103" spans="2:13" ht="11.25" customHeight="1" thickBot="1" x14ac:dyDescent="0.2">
      <c r="B103" s="326" t="s">
        <v>457</v>
      </c>
      <c r="C103" s="214"/>
      <c r="D103" s="214"/>
      <c r="E103" s="377">
        <f t="shared" ref="E103:M103" si="9">SUM(E100:E102)</f>
        <v>0</v>
      </c>
      <c r="F103" s="377">
        <f t="shared" si="9"/>
        <v>0</v>
      </c>
      <c r="G103" s="377">
        <f t="shared" si="9"/>
        <v>0</v>
      </c>
      <c r="H103" s="377">
        <f t="shared" si="9"/>
        <v>0</v>
      </c>
      <c r="I103" s="377">
        <f t="shared" si="9"/>
        <v>0</v>
      </c>
      <c r="J103" s="377">
        <f t="shared" si="9"/>
        <v>0</v>
      </c>
      <c r="K103" s="375">
        <f t="shared" si="9"/>
        <v>0</v>
      </c>
      <c r="L103" s="376">
        <f t="shared" si="9"/>
        <v>0</v>
      </c>
      <c r="M103" s="374">
        <f t="shared" si="9"/>
        <v>0</v>
      </c>
    </row>
    <row r="104" spans="2:13" ht="6" customHeight="1" thickTop="1" thickBot="1" x14ac:dyDescent="0.2">
      <c r="B104" s="408"/>
      <c r="C104" s="210"/>
      <c r="D104" s="210"/>
      <c r="E104" s="210"/>
      <c r="F104" s="210"/>
      <c r="G104" s="210"/>
      <c r="H104" s="210"/>
      <c r="I104" s="210"/>
      <c r="J104" s="210"/>
      <c r="K104" s="210"/>
      <c r="L104" s="210"/>
      <c r="M104" s="367"/>
    </row>
    <row r="105" spans="2:13" ht="6" customHeight="1" x14ac:dyDescent="0.15">
      <c r="B105" s="186"/>
      <c r="C105" s="186"/>
      <c r="D105" s="186"/>
      <c r="E105" s="186"/>
      <c r="F105" s="186"/>
      <c r="G105" s="186"/>
      <c r="H105" s="186"/>
      <c r="I105" s="186"/>
      <c r="J105" s="186"/>
      <c r="K105" s="186"/>
      <c r="L105" s="186"/>
      <c r="M105" s="186"/>
    </row>
    <row r="106" spans="2:13" ht="6" customHeight="1" x14ac:dyDescent="0.15">
      <c r="B106" s="203"/>
      <c r="C106" s="203"/>
      <c r="D106" s="203"/>
      <c r="E106" s="204"/>
      <c r="F106" s="204"/>
      <c r="G106" s="204"/>
      <c r="H106" s="204"/>
      <c r="I106" s="204"/>
      <c r="J106" s="204"/>
      <c r="K106" s="204"/>
      <c r="L106" s="204"/>
      <c r="M106" s="204"/>
    </row>
    <row r="107" spans="2:13" s="109" customFormat="1" ht="6" customHeight="1" thickBot="1" x14ac:dyDescent="0.2"/>
    <row r="108" spans="2:13" s="109" customFormat="1" ht="25.5" customHeight="1" x14ac:dyDescent="0.2">
      <c r="B108" s="441" t="s">
        <v>463</v>
      </c>
      <c r="C108" s="442"/>
      <c r="D108" s="442"/>
      <c r="E108" s="211" t="str">
        <f t="shared" ref="E108:J108" si="10">E75</f>
        <v>Typical 1</v>
      </c>
      <c r="F108" s="211" t="str">
        <f t="shared" si="10"/>
        <v>Typical 2</v>
      </c>
      <c r="G108" s="211" t="str">
        <f t="shared" si="10"/>
        <v>Typical 3</v>
      </c>
      <c r="H108" s="211" t="str">
        <f t="shared" si="10"/>
        <v>Typical 4</v>
      </c>
      <c r="I108" s="211" t="str">
        <f t="shared" si="10"/>
        <v>Typical 5</v>
      </c>
      <c r="J108" s="211" t="str">
        <f t="shared" si="10"/>
        <v>Typical 6</v>
      </c>
      <c r="K108" s="368" t="s">
        <v>430</v>
      </c>
      <c r="L108" s="368" t="s">
        <v>429</v>
      </c>
      <c r="M108" s="211" t="s">
        <v>98</v>
      </c>
    </row>
    <row r="109" spans="2:13" ht="12" thickBot="1" x14ac:dyDescent="0.2">
      <c r="B109" s="360" t="s">
        <v>416</v>
      </c>
      <c r="C109" s="210"/>
      <c r="D109" s="210"/>
      <c r="E109" s="350"/>
      <c r="F109" s="350"/>
      <c r="G109" s="350"/>
      <c r="H109" s="350"/>
      <c r="I109" s="350"/>
      <c r="J109" s="350"/>
      <c r="K109" s="299" t="str">
        <f>'Ind Std Execution and Pricing'!K67</f>
        <v/>
      </c>
      <c r="L109" s="351"/>
      <c r="M109" s="220" t="str">
        <f>'Ind Std Execution and Pricing'!M67</f>
        <v/>
      </c>
    </row>
    <row r="110" spans="2:13" ht="15" hidden="1" customHeight="1" x14ac:dyDescent="0.15">
      <c r="B110" s="184"/>
      <c r="C110" s="186"/>
      <c r="D110" s="186"/>
      <c r="E110" s="186">
        <v>-10</v>
      </c>
      <c r="F110" s="186"/>
      <c r="G110" s="186"/>
      <c r="H110" s="186"/>
      <c r="I110" s="186"/>
      <c r="J110" s="186"/>
      <c r="K110" s="186"/>
      <c r="L110" s="186"/>
      <c r="M110" s="186"/>
    </row>
    <row r="111" spans="2:13" ht="6" customHeight="1" x14ac:dyDescent="0.15">
      <c r="B111" s="203"/>
      <c r="C111" s="203"/>
      <c r="D111" s="203"/>
      <c r="E111" s="204"/>
      <c r="F111" s="204"/>
      <c r="G111" s="204"/>
      <c r="H111" s="204"/>
      <c r="I111" s="204"/>
      <c r="J111" s="204"/>
      <c r="K111" s="204"/>
      <c r="L111" s="204"/>
      <c r="M111" s="204"/>
    </row>
    <row r="112" spans="2:13" ht="6" customHeight="1" thickBot="1" x14ac:dyDescent="0.2">
      <c r="B112" s="184"/>
      <c r="C112" s="186"/>
      <c r="D112" s="186"/>
      <c r="E112" s="186"/>
      <c r="F112" s="186"/>
      <c r="G112" s="186"/>
      <c r="H112" s="186"/>
      <c r="I112" s="186"/>
      <c r="J112" s="186"/>
      <c r="K112" s="186"/>
      <c r="L112" s="186"/>
      <c r="M112" s="186"/>
    </row>
    <row r="113" spans="2:13" ht="16" x14ac:dyDescent="0.2">
      <c r="B113" s="441" t="s">
        <v>459</v>
      </c>
      <c r="C113" s="209"/>
      <c r="D113" s="209"/>
      <c r="E113" s="304" t="str">
        <f t="shared" ref="E113:J113" si="11">E37</f>
        <v>Typical 1</v>
      </c>
      <c r="F113" s="211" t="str">
        <f t="shared" si="11"/>
        <v>Typical 2</v>
      </c>
      <c r="G113" s="211" t="str">
        <f t="shared" si="11"/>
        <v>Typical 3</v>
      </c>
      <c r="H113" s="211" t="str">
        <f t="shared" si="11"/>
        <v>Typical 4</v>
      </c>
      <c r="I113" s="211" t="str">
        <f t="shared" si="11"/>
        <v>Typical 5</v>
      </c>
      <c r="J113" s="211" t="str">
        <f t="shared" si="11"/>
        <v>Typical 6</v>
      </c>
      <c r="K113" s="304" t="s">
        <v>80</v>
      </c>
      <c r="L113" s="305" t="s">
        <v>257</v>
      </c>
      <c r="M113" s="305" t="s">
        <v>98</v>
      </c>
    </row>
    <row r="114" spans="2:13" x14ac:dyDescent="0.15">
      <c r="B114" s="361" t="s">
        <v>460</v>
      </c>
      <c r="C114" s="186"/>
      <c r="D114" s="186"/>
      <c r="E114" s="306">
        <f>'Ind Std Execution and Pricing'!E54</f>
        <v>0</v>
      </c>
      <c r="F114" s="333">
        <f>'Ind Std Execution and Pricing'!F54</f>
        <v>0</v>
      </c>
      <c r="G114" s="333">
        <f>'Ind Std Execution and Pricing'!G54</f>
        <v>0</v>
      </c>
      <c r="H114" s="333">
        <f>'Ind Std Execution and Pricing'!H54</f>
        <v>0</v>
      </c>
      <c r="I114" s="333">
        <f>'Ind Std Execution and Pricing'!I54</f>
        <v>0</v>
      </c>
      <c r="J114" s="333">
        <f>'Ind Std Execution and Pricing'!J54</f>
        <v>0</v>
      </c>
      <c r="K114" s="325">
        <f>'Ind Std Execution and Pricing'!K54</f>
        <v>0</v>
      </c>
      <c r="L114" s="307">
        <f>'Ind Std Execution and Pricing'!L54</f>
        <v>0</v>
      </c>
      <c r="M114" s="307">
        <f>'Ind Std Execution and Pricing'!M54</f>
        <v>0</v>
      </c>
    </row>
    <row r="115" spans="2:13" ht="6" customHeight="1" x14ac:dyDescent="0.15">
      <c r="B115" s="308"/>
      <c r="C115" s="186"/>
      <c r="D115" s="186"/>
      <c r="E115" s="308"/>
      <c r="F115" s="208"/>
      <c r="G115" s="208"/>
      <c r="H115" s="208"/>
      <c r="I115" s="208"/>
      <c r="J115" s="208"/>
      <c r="K115" s="326"/>
      <c r="L115" s="309"/>
      <c r="M115" s="309"/>
    </row>
    <row r="116" spans="2:13" x14ac:dyDescent="0.15">
      <c r="B116" s="362" t="s">
        <v>461</v>
      </c>
      <c r="C116" s="186"/>
      <c r="D116" s="186"/>
      <c r="E116" s="310">
        <f>'Ind Std Execution and Pricing'!E96</f>
        <v>0</v>
      </c>
      <c r="F116" s="334">
        <f>'Ind Std Execution and Pricing'!F96</f>
        <v>0</v>
      </c>
      <c r="G116" s="334">
        <f>'Ind Std Execution and Pricing'!G96</f>
        <v>0</v>
      </c>
      <c r="H116" s="334">
        <f>'Ind Std Execution and Pricing'!H96</f>
        <v>0</v>
      </c>
      <c r="I116" s="334">
        <f>'Ind Std Execution and Pricing'!I96</f>
        <v>0</v>
      </c>
      <c r="J116" s="334">
        <f>'Ind Std Execution and Pricing'!J96</f>
        <v>0</v>
      </c>
      <c r="K116" s="327">
        <f>'Ind Std Execution and Pricing'!K96</f>
        <v>0</v>
      </c>
      <c r="L116" s="311">
        <f>'Ind Std Execution and Pricing'!L69</f>
        <v>0</v>
      </c>
      <c r="M116" s="352">
        <f>'Ind Std Execution and Pricing'!M69</f>
        <v>0</v>
      </c>
    </row>
    <row r="117" spans="2:13" x14ac:dyDescent="0.15">
      <c r="B117" s="362" t="s">
        <v>350</v>
      </c>
      <c r="C117" s="186"/>
      <c r="D117" s="186"/>
      <c r="E117" s="312" t="str">
        <f>'Ind Std Execution and Pricing'!E97</f>
        <v/>
      </c>
      <c r="F117" s="335" t="str">
        <f>'Ind Std Execution and Pricing'!F97</f>
        <v/>
      </c>
      <c r="G117" s="335" t="str">
        <f>'Ind Std Execution and Pricing'!G97</f>
        <v/>
      </c>
      <c r="H117" s="335" t="str">
        <f>'Ind Std Execution and Pricing'!H97</f>
        <v/>
      </c>
      <c r="I117" s="335" t="str">
        <f>'Ind Std Execution and Pricing'!I97</f>
        <v/>
      </c>
      <c r="J117" s="335" t="str">
        <f>'Ind Std Execution and Pricing'!J97</f>
        <v/>
      </c>
      <c r="K117" s="328" t="str">
        <f>'Ind Std Execution and Pricing'!K97</f>
        <v/>
      </c>
      <c r="L117" s="313" t="str">
        <f>'Ind Std Execution and Pricing'!L97</f>
        <v/>
      </c>
      <c r="M117" s="353" t="str">
        <f>'Ind Std Execution and Pricing'!M97</f>
        <v/>
      </c>
    </row>
    <row r="118" spans="2:13" x14ac:dyDescent="0.15">
      <c r="B118" s="362" t="s">
        <v>441</v>
      </c>
      <c r="C118" s="186"/>
      <c r="D118" s="186"/>
      <c r="E118" s="312" t="str">
        <f t="shared" ref="E118:J118" si="12">IF(E38="","",E116/E38)</f>
        <v/>
      </c>
      <c r="F118" s="335" t="str">
        <f t="shared" si="12"/>
        <v/>
      </c>
      <c r="G118" s="335" t="str">
        <f t="shared" si="12"/>
        <v/>
      </c>
      <c r="H118" s="335" t="str">
        <f t="shared" si="12"/>
        <v/>
      </c>
      <c r="I118" s="335" t="str">
        <f t="shared" si="12"/>
        <v/>
      </c>
      <c r="J118" s="335" t="str">
        <f t="shared" si="12"/>
        <v/>
      </c>
      <c r="K118" s="328" t="e">
        <f>K116/SUM(E38:J38)</f>
        <v>#DIV/0!</v>
      </c>
      <c r="L118" s="313"/>
      <c r="M118" s="313"/>
    </row>
    <row r="119" spans="2:13" ht="6" customHeight="1" x14ac:dyDescent="0.15">
      <c r="B119" s="308"/>
      <c r="C119" s="186"/>
      <c r="D119" s="186"/>
      <c r="E119" s="308"/>
      <c r="F119" s="208"/>
      <c r="G119" s="208"/>
      <c r="H119" s="208"/>
      <c r="I119" s="208"/>
      <c r="J119" s="208"/>
      <c r="K119" s="326"/>
      <c r="L119" s="309"/>
      <c r="M119" s="309"/>
    </row>
    <row r="120" spans="2:13" x14ac:dyDescent="0.15">
      <c r="B120" s="358" t="s">
        <v>417</v>
      </c>
      <c r="C120" s="186"/>
      <c r="D120" s="186"/>
      <c r="E120" s="314">
        <f>'Ind Std Execution and Pricing'!E91</f>
        <v>0</v>
      </c>
      <c r="F120" s="336">
        <f>'Ind Std Execution and Pricing'!F91</f>
        <v>0</v>
      </c>
      <c r="G120" s="336">
        <f>'Ind Std Execution and Pricing'!G91</f>
        <v>0</v>
      </c>
      <c r="H120" s="336">
        <f>'Ind Std Execution and Pricing'!H91</f>
        <v>0</v>
      </c>
      <c r="I120" s="336">
        <f>'Ind Std Execution and Pricing'!I91</f>
        <v>0</v>
      </c>
      <c r="J120" s="336">
        <f>'Ind Std Execution and Pricing'!J91</f>
        <v>0</v>
      </c>
      <c r="K120" s="329">
        <f>'Ind Std Execution and Pricing'!K99</f>
        <v>0</v>
      </c>
      <c r="L120" s="315">
        <f>'Ind Std Execution and Pricing'!L91</f>
        <v>0</v>
      </c>
      <c r="M120" s="315">
        <f>'Ind Std Execution and Pricing'!M91</f>
        <v>0</v>
      </c>
    </row>
    <row r="121" spans="2:13" ht="6" customHeight="1" x14ac:dyDescent="0.15">
      <c r="B121" s="308"/>
      <c r="C121" s="186"/>
      <c r="D121" s="186"/>
      <c r="E121" s="308"/>
      <c r="F121" s="208"/>
      <c r="G121" s="208"/>
      <c r="H121" s="208"/>
      <c r="I121" s="208"/>
      <c r="J121" s="208"/>
      <c r="K121" s="326"/>
      <c r="L121" s="309"/>
      <c r="M121" s="309"/>
    </row>
    <row r="122" spans="2:13" ht="12" thickBot="1" x14ac:dyDescent="0.2">
      <c r="B122" s="326" t="s">
        <v>418</v>
      </c>
      <c r="C122" s="186"/>
      <c r="D122" s="186"/>
      <c r="E122" s="316">
        <f>'Ind Std Execution and Pricing'!E101</f>
        <v>0</v>
      </c>
      <c r="F122" s="337">
        <f>'Ind Std Execution and Pricing'!F101</f>
        <v>0</v>
      </c>
      <c r="G122" s="337">
        <f>'Ind Std Execution and Pricing'!G101</f>
        <v>0</v>
      </c>
      <c r="H122" s="337">
        <f>'Ind Std Execution and Pricing'!H101</f>
        <v>0</v>
      </c>
      <c r="I122" s="337">
        <f>'Ind Std Execution and Pricing'!I101</f>
        <v>0</v>
      </c>
      <c r="J122" s="337">
        <f>'Ind Std Execution and Pricing'!J101</f>
        <v>0</v>
      </c>
      <c r="K122" s="330">
        <f>'Ind Std Execution and Pricing'!K101</f>
        <v>0</v>
      </c>
      <c r="L122" s="317">
        <f>'Ind Std Execution and Pricing'!L101</f>
        <v>0</v>
      </c>
      <c r="M122" s="317">
        <f>'Ind Std Execution and Pricing'!M101</f>
        <v>0</v>
      </c>
    </row>
    <row r="123" spans="2:13" ht="12" thickTop="1" x14ac:dyDescent="0.15">
      <c r="B123" s="326" t="s">
        <v>419</v>
      </c>
      <c r="C123" s="186"/>
      <c r="D123" s="186"/>
      <c r="E123" s="318" t="str">
        <f>'Ind Std Execution and Pricing'!E102</f>
        <v/>
      </c>
      <c r="F123" s="338" t="str">
        <f>'Ind Std Execution and Pricing'!F102</f>
        <v/>
      </c>
      <c r="G123" s="338" t="str">
        <f>'Ind Std Execution and Pricing'!G102</f>
        <v/>
      </c>
      <c r="H123" s="338" t="str">
        <f>'Ind Std Execution and Pricing'!H102</f>
        <v/>
      </c>
      <c r="I123" s="338" t="str">
        <f>'Ind Std Execution and Pricing'!I102</f>
        <v/>
      </c>
      <c r="J123" s="338" t="str">
        <f>'Ind Std Execution and Pricing'!J102</f>
        <v/>
      </c>
      <c r="K123" s="331" t="str">
        <f>'Ind Std Execution and Pricing'!K102</f>
        <v/>
      </c>
      <c r="L123" s="319" t="str">
        <f>'Ind Std Execution and Pricing'!L102</f>
        <v/>
      </c>
      <c r="M123" s="319" t="str">
        <f>'Ind Std Execution and Pricing'!M102</f>
        <v/>
      </c>
    </row>
    <row r="124" spans="2:13" ht="6" customHeight="1" x14ac:dyDescent="0.15">
      <c r="B124" s="326"/>
      <c r="C124" s="186"/>
      <c r="D124" s="186"/>
      <c r="E124" s="318"/>
      <c r="F124" s="338"/>
      <c r="G124" s="338"/>
      <c r="H124" s="338"/>
      <c r="I124" s="338"/>
      <c r="J124" s="338"/>
      <c r="K124" s="318"/>
      <c r="L124" s="320"/>
      <c r="M124" s="320"/>
    </row>
    <row r="125" spans="2:13" x14ac:dyDescent="0.15">
      <c r="B125" s="363" t="s">
        <v>351</v>
      </c>
      <c r="C125" s="205"/>
      <c r="D125" s="205"/>
      <c r="E125" s="321">
        <f t="shared" ref="E125:K125" si="13">E116-E114</f>
        <v>0</v>
      </c>
      <c r="F125" s="339">
        <f t="shared" si="13"/>
        <v>0</v>
      </c>
      <c r="G125" s="339">
        <f t="shared" si="13"/>
        <v>0</v>
      </c>
      <c r="H125" s="339">
        <f t="shared" si="13"/>
        <v>0</v>
      </c>
      <c r="I125" s="339">
        <f t="shared" si="13"/>
        <v>0</v>
      </c>
      <c r="J125" s="339">
        <f t="shared" si="13"/>
        <v>0</v>
      </c>
      <c r="K125" s="321">
        <f t="shared" si="13"/>
        <v>0</v>
      </c>
      <c r="L125" s="332">
        <f>L116-L114</f>
        <v>0</v>
      </c>
      <c r="M125" s="322">
        <f>K125+L125</f>
        <v>0</v>
      </c>
    </row>
    <row r="126" spans="2:13" ht="12" thickBot="1" x14ac:dyDescent="0.2">
      <c r="B126" s="364" t="s">
        <v>420</v>
      </c>
      <c r="C126" s="210"/>
      <c r="D126" s="210"/>
      <c r="E126" s="323">
        <f>IF(E86=0,0,(E120/E86)*E87)</f>
        <v>0</v>
      </c>
      <c r="F126" s="340">
        <f>IF(F86=0,0,(F120/F86)*F87)</f>
        <v>0</v>
      </c>
      <c r="G126" s="340">
        <f>IF(G86=0,,(G120/G86)*G87)</f>
        <v>0</v>
      </c>
      <c r="H126" s="340">
        <f>IF(H86=0,0,(H120/H86)*H87)</f>
        <v>0</v>
      </c>
      <c r="I126" s="340">
        <f>IF(I86=0,0,(I120/I86)*I87)</f>
        <v>0</v>
      </c>
      <c r="J126" s="340">
        <f>IF(J86=0,0,(J120/J86)*J87)</f>
        <v>0</v>
      </c>
      <c r="K126" s="323" t="str">
        <f>IF(K86=0,"",(K120/K86)*K87)</f>
        <v/>
      </c>
      <c r="L126" s="324">
        <f>IF(L86=0,0,(L120/L86)*L87)</f>
        <v>0</v>
      </c>
      <c r="M126" s="324" t="str">
        <f>IF(M86=0,"",(M120/M86)*M87)</f>
        <v/>
      </c>
    </row>
    <row r="127" spans="2:13" ht="6" customHeight="1" x14ac:dyDescent="0.15">
      <c r="B127" s="184"/>
      <c r="C127" s="186"/>
      <c r="D127" s="186"/>
      <c r="E127" s="186"/>
      <c r="F127" s="186"/>
      <c r="G127" s="186"/>
      <c r="H127" s="186"/>
      <c r="I127" s="186"/>
      <c r="J127" s="186"/>
      <c r="K127" s="186"/>
      <c r="L127" s="186"/>
      <c r="M127" s="186"/>
    </row>
    <row r="128" spans="2:13" ht="6" customHeight="1" x14ac:dyDescent="0.15">
      <c r="B128" s="203"/>
      <c r="C128" s="203"/>
      <c r="D128" s="203"/>
      <c r="E128" s="204"/>
      <c r="F128" s="204"/>
      <c r="G128" s="204"/>
      <c r="H128" s="204"/>
      <c r="I128" s="204"/>
      <c r="J128" s="204"/>
      <c r="K128" s="204"/>
      <c r="L128" s="204"/>
      <c r="M128" s="204"/>
    </row>
    <row r="129" spans="2:13" ht="6" hidden="1" customHeight="1" thickBot="1" x14ac:dyDescent="0.2">
      <c r="B129" s="184"/>
      <c r="C129" s="186"/>
      <c r="D129" s="186"/>
      <c r="E129" s="186"/>
      <c r="F129" s="186"/>
      <c r="G129" s="186"/>
      <c r="H129" s="186"/>
      <c r="I129" s="186"/>
      <c r="J129" s="186"/>
      <c r="K129" s="186"/>
      <c r="L129" s="186"/>
      <c r="M129" s="186"/>
    </row>
    <row r="130" spans="2:13" ht="6" customHeight="1" thickBot="1" x14ac:dyDescent="0.2">
      <c r="B130" s="184"/>
      <c r="C130" s="186"/>
      <c r="D130" s="186"/>
      <c r="E130" s="186"/>
      <c r="F130" s="186"/>
      <c r="G130" s="186"/>
      <c r="H130" s="186"/>
      <c r="I130" s="186"/>
      <c r="J130" s="186"/>
      <c r="K130" s="186"/>
      <c r="L130" s="186"/>
      <c r="M130" s="186"/>
    </row>
    <row r="131" spans="2:13" ht="40" x14ac:dyDescent="0.2">
      <c r="B131" s="441" t="s">
        <v>450</v>
      </c>
      <c r="C131" s="209"/>
      <c r="D131" s="209"/>
      <c r="E131" s="209"/>
      <c r="F131" s="449" t="s">
        <v>467</v>
      </c>
      <c r="G131" s="449" t="s">
        <v>449</v>
      </c>
      <c r="H131" s="450" t="s">
        <v>466</v>
      </c>
      <c r="I131" s="453" t="s">
        <v>445</v>
      </c>
      <c r="J131" s="453" t="s">
        <v>448</v>
      </c>
      <c r="K131" s="454" t="s">
        <v>446</v>
      </c>
      <c r="L131" s="459" t="s">
        <v>443</v>
      </c>
      <c r="M131" s="457" t="s">
        <v>447</v>
      </c>
    </row>
    <row r="132" spans="2:13" ht="13" x14ac:dyDescent="0.15">
      <c r="B132" s="409" t="s">
        <v>444</v>
      </c>
      <c r="C132" s="186"/>
      <c r="D132" s="186"/>
      <c r="E132" s="186"/>
      <c r="F132" s="451">
        <f>K114</f>
        <v>0</v>
      </c>
      <c r="G132" s="451">
        <f>K125</f>
        <v>0</v>
      </c>
      <c r="H132" s="452">
        <f>K116</f>
        <v>0</v>
      </c>
      <c r="I132" s="455" t="e">
        <f>K132-J132</f>
        <v>#VALUE!</v>
      </c>
      <c r="J132" s="455" t="str">
        <f>K126</f>
        <v/>
      </c>
      <c r="K132" s="456">
        <f>-K120</f>
        <v>0</v>
      </c>
      <c r="L132" s="460">
        <f>H132+K132</f>
        <v>0</v>
      </c>
      <c r="M132" s="458">
        <f>IF(H132=0,0,L132/H132)</f>
        <v>0</v>
      </c>
    </row>
    <row r="133" spans="2:13" ht="13" x14ac:dyDescent="0.15">
      <c r="B133" s="409" t="s">
        <v>442</v>
      </c>
      <c r="C133" s="186"/>
      <c r="D133" s="186"/>
      <c r="E133" s="186"/>
      <c r="F133" s="451">
        <f>L114</f>
        <v>0</v>
      </c>
      <c r="G133" s="451">
        <f>L125</f>
        <v>0</v>
      </c>
      <c r="H133" s="452">
        <f>L116</f>
        <v>0</v>
      </c>
      <c r="I133" s="455">
        <f>K133-J133</f>
        <v>0</v>
      </c>
      <c r="J133" s="455">
        <f>L126</f>
        <v>0</v>
      </c>
      <c r="K133" s="456">
        <f>-L120</f>
        <v>0</v>
      </c>
      <c r="L133" s="460">
        <f>H133+K133</f>
        <v>0</v>
      </c>
      <c r="M133" s="458">
        <f>IF(H133=0,0,L133/H133)</f>
        <v>0</v>
      </c>
    </row>
    <row r="134" spans="2:13" ht="13" x14ac:dyDescent="0.15">
      <c r="B134" s="409" t="s">
        <v>490</v>
      </c>
      <c r="C134" s="186"/>
      <c r="D134" s="186"/>
      <c r="E134" s="186"/>
      <c r="F134" s="451">
        <f>K71</f>
        <v>0</v>
      </c>
      <c r="G134" s="451">
        <v>0</v>
      </c>
      <c r="H134" s="452">
        <f>F134-G134</f>
        <v>0</v>
      </c>
      <c r="I134" s="455">
        <f>-J71</f>
        <v>0</v>
      </c>
      <c r="J134" s="455">
        <v>0</v>
      </c>
      <c r="K134" s="456">
        <f>(I134-J134)</f>
        <v>0</v>
      </c>
      <c r="L134" s="460">
        <f>H134+K134</f>
        <v>0</v>
      </c>
      <c r="M134" s="458">
        <f>IF(H134=0,0,L134/H134)</f>
        <v>0</v>
      </c>
    </row>
    <row r="135" spans="2:13" ht="15" thickBot="1" x14ac:dyDescent="0.2">
      <c r="B135" s="475" t="s">
        <v>468</v>
      </c>
      <c r="C135" s="476"/>
      <c r="D135" s="476"/>
      <c r="E135" s="476"/>
      <c r="F135" s="477">
        <f t="shared" ref="F135:K135" si="14">SUM(F132:F134)</f>
        <v>0</v>
      </c>
      <c r="G135" s="477">
        <f t="shared" si="14"/>
        <v>0</v>
      </c>
      <c r="H135" s="478">
        <f t="shared" si="14"/>
        <v>0</v>
      </c>
      <c r="I135" s="479" t="e">
        <f t="shared" si="14"/>
        <v>#VALUE!</v>
      </c>
      <c r="J135" s="479">
        <f t="shared" si="14"/>
        <v>0</v>
      </c>
      <c r="K135" s="480">
        <f t="shared" si="14"/>
        <v>0</v>
      </c>
      <c r="L135" s="481">
        <f>H135+K135</f>
        <v>0</v>
      </c>
      <c r="M135" s="482">
        <f>IF(H135=0,0,L135/H135)</f>
        <v>0</v>
      </c>
    </row>
    <row r="136" spans="2:13" ht="6.75" customHeight="1" thickTop="1" thickBot="1" x14ac:dyDescent="0.2">
      <c r="B136" s="408"/>
      <c r="C136" s="210"/>
      <c r="D136" s="210"/>
      <c r="E136" s="210"/>
      <c r="F136" s="210"/>
      <c r="G136" s="210"/>
      <c r="H136" s="210"/>
      <c r="I136" s="210"/>
      <c r="J136" s="210"/>
      <c r="K136" s="210"/>
      <c r="L136" s="461"/>
      <c r="M136" s="367"/>
    </row>
    <row r="137" spans="2:13" ht="39.75" customHeight="1" x14ac:dyDescent="0.15">
      <c r="N137" t="s">
        <v>501</v>
      </c>
    </row>
    <row r="138" spans="2:13" hidden="1" x14ac:dyDescent="0.15"/>
    <row r="139" spans="2:13" hidden="1" x14ac:dyDescent="0.15"/>
    <row r="140" spans="2:13" hidden="1" x14ac:dyDescent="0.15"/>
    <row r="141" spans="2:13" hidden="1" x14ac:dyDescent="0.15"/>
    <row r="142" spans="2:13" hidden="1" x14ac:dyDescent="0.15"/>
    <row r="143" spans="2:13" hidden="1" x14ac:dyDescent="0.15"/>
    <row r="144" spans="2:13" hidden="1" x14ac:dyDescent="0.15"/>
    <row r="145" hidden="1" x14ac:dyDescent="0.15"/>
    <row r="146" hidden="1" x14ac:dyDescent="0.15"/>
    <row r="147" hidden="1" x14ac:dyDescent="0.15"/>
    <row r="148" hidden="1" x14ac:dyDescent="0.15"/>
    <row r="149" hidden="1" x14ac:dyDescent="0.15"/>
    <row r="150" hidden="1" x14ac:dyDescent="0.15"/>
    <row r="151" hidden="1" x14ac:dyDescent="0.15"/>
    <row r="152" hidden="1" x14ac:dyDescent="0.15"/>
    <row r="153" hidden="1" x14ac:dyDescent="0.15"/>
    <row r="154" hidden="1" x14ac:dyDescent="0.15"/>
    <row r="155" hidden="1" x14ac:dyDescent="0.15"/>
    <row r="156" hidden="1" x14ac:dyDescent="0.15"/>
    <row r="157" hidden="1" x14ac:dyDescent="0.15"/>
    <row r="158" hidden="1" x14ac:dyDescent="0.15"/>
    <row r="159" hidden="1" x14ac:dyDescent="0.15"/>
    <row r="160" hidden="1" x14ac:dyDescent="0.15"/>
    <row r="161" hidden="1" x14ac:dyDescent="0.15"/>
    <row r="162" hidden="1" x14ac:dyDescent="0.15"/>
    <row r="163" hidden="1" x14ac:dyDescent="0.15"/>
    <row r="164" hidden="1" x14ac:dyDescent="0.15"/>
    <row r="165" hidden="1" x14ac:dyDescent="0.15"/>
    <row r="166" hidden="1" x14ac:dyDescent="0.15"/>
    <row r="167" hidden="1" x14ac:dyDescent="0.15"/>
    <row r="168" hidden="1" x14ac:dyDescent="0.15"/>
    <row r="169" hidden="1" x14ac:dyDescent="0.15"/>
    <row r="170" hidden="1" x14ac:dyDescent="0.15"/>
    <row r="171" hidden="1" x14ac:dyDescent="0.15"/>
    <row r="172" hidden="1" x14ac:dyDescent="0.15"/>
    <row r="173" hidden="1" x14ac:dyDescent="0.15"/>
    <row r="174" hidden="1" x14ac:dyDescent="0.15"/>
    <row r="175" hidden="1" x14ac:dyDescent="0.15"/>
    <row r="176" hidden="1" x14ac:dyDescent="0.15"/>
    <row r="177" hidden="1" x14ac:dyDescent="0.15"/>
    <row r="178" hidden="1" x14ac:dyDescent="0.15"/>
    <row r="179" hidden="1" x14ac:dyDescent="0.15"/>
    <row r="180" hidden="1" x14ac:dyDescent="0.15"/>
    <row r="181" hidden="1" x14ac:dyDescent="0.15"/>
    <row r="182" hidden="1" x14ac:dyDescent="0.15"/>
    <row r="183" hidden="1" x14ac:dyDescent="0.15"/>
    <row r="184" hidden="1" x14ac:dyDescent="0.15"/>
    <row r="185" hidden="1" x14ac:dyDescent="0.15"/>
    <row r="186" hidden="1" x14ac:dyDescent="0.15"/>
    <row r="187" hidden="1" x14ac:dyDescent="0.15"/>
    <row r="188" hidden="1" x14ac:dyDescent="0.15"/>
    <row r="189" hidden="1" x14ac:dyDescent="0.15"/>
    <row r="190" hidden="1" x14ac:dyDescent="0.15"/>
    <row r="191" hidden="1" x14ac:dyDescent="0.15"/>
    <row r="192" hidden="1" x14ac:dyDescent="0.15"/>
    <row r="193" hidden="1" x14ac:dyDescent="0.15"/>
    <row r="194" hidden="1" x14ac:dyDescent="0.15"/>
    <row r="195" hidden="1" x14ac:dyDescent="0.15"/>
    <row r="196" hidden="1" x14ac:dyDescent="0.15"/>
    <row r="197" hidden="1" x14ac:dyDescent="0.15"/>
    <row r="198" hidden="1" x14ac:dyDescent="0.15"/>
    <row r="199" hidden="1" x14ac:dyDescent="0.15"/>
    <row r="200" hidden="1" x14ac:dyDescent="0.15"/>
    <row r="201" hidden="1" x14ac:dyDescent="0.15"/>
    <row r="202" hidden="1" x14ac:dyDescent="0.15"/>
    <row r="203" hidden="1" x14ac:dyDescent="0.15"/>
    <row r="204" hidden="1" x14ac:dyDescent="0.15"/>
    <row r="205" hidden="1" x14ac:dyDescent="0.15"/>
    <row r="206" hidden="1" x14ac:dyDescent="0.15"/>
    <row r="207" hidden="1" x14ac:dyDescent="0.15"/>
    <row r="208" hidden="1" x14ac:dyDescent="0.15"/>
    <row r="209" hidden="1" x14ac:dyDescent="0.15"/>
    <row r="210" hidden="1" x14ac:dyDescent="0.15"/>
    <row r="211" hidden="1" x14ac:dyDescent="0.15"/>
    <row r="212" hidden="1" x14ac:dyDescent="0.15"/>
    <row r="213" hidden="1" x14ac:dyDescent="0.15"/>
    <row r="214" hidden="1" x14ac:dyDescent="0.15"/>
    <row r="215" hidden="1" x14ac:dyDescent="0.15"/>
    <row r="216" hidden="1" x14ac:dyDescent="0.15"/>
    <row r="217" hidden="1" x14ac:dyDescent="0.15"/>
    <row r="218" hidden="1" x14ac:dyDescent="0.15"/>
    <row r="219" hidden="1" x14ac:dyDescent="0.15"/>
    <row r="220" hidden="1" x14ac:dyDescent="0.15"/>
    <row r="221" hidden="1" x14ac:dyDescent="0.15"/>
    <row r="222" hidden="1" x14ac:dyDescent="0.15"/>
    <row r="223" hidden="1" x14ac:dyDescent="0.15"/>
    <row r="224" hidden="1" x14ac:dyDescent="0.15"/>
    <row r="225" hidden="1" x14ac:dyDescent="0.15"/>
    <row r="226" hidden="1" x14ac:dyDescent="0.15"/>
    <row r="227" hidden="1" x14ac:dyDescent="0.15"/>
    <row r="228" hidden="1" x14ac:dyDescent="0.15"/>
    <row r="229" hidden="1" x14ac:dyDescent="0.15"/>
    <row r="230" hidden="1" x14ac:dyDescent="0.15"/>
    <row r="231" hidden="1" x14ac:dyDescent="0.15"/>
    <row r="232" hidden="1" x14ac:dyDescent="0.15"/>
    <row r="233" hidden="1" x14ac:dyDescent="0.15"/>
    <row r="234" hidden="1" x14ac:dyDescent="0.15"/>
    <row r="235" hidden="1" x14ac:dyDescent="0.15"/>
  </sheetData>
  <mergeCells count="65">
    <mergeCell ref="D3:E3"/>
    <mergeCell ref="D20:E20"/>
    <mergeCell ref="B29:C29"/>
    <mergeCell ref="D7:F7"/>
    <mergeCell ref="D21:E21"/>
    <mergeCell ref="D14:E14"/>
    <mergeCell ref="D13:E13"/>
    <mergeCell ref="E29:I29"/>
    <mergeCell ref="H7:J7"/>
    <mergeCell ref="D9:F9"/>
    <mergeCell ref="H9:J9"/>
    <mergeCell ref="D8:F8"/>
    <mergeCell ref="H8:J8"/>
    <mergeCell ref="B58:D58"/>
    <mergeCell ref="B40:C40"/>
    <mergeCell ref="B42:C42"/>
    <mergeCell ref="B57:D57"/>
    <mergeCell ref="B44:C44"/>
    <mergeCell ref="B45:C45"/>
    <mergeCell ref="B48:C48"/>
    <mergeCell ref="B55:C55"/>
    <mergeCell ref="B46:C46"/>
    <mergeCell ref="B47:C47"/>
    <mergeCell ref="B38:C38"/>
    <mergeCell ref="B39:C39"/>
    <mergeCell ref="B43:C43"/>
    <mergeCell ref="B49:C49"/>
    <mergeCell ref="B50:C50"/>
    <mergeCell ref="B51:C51"/>
    <mergeCell ref="B54:C54"/>
    <mergeCell ref="G58:I58"/>
    <mergeCell ref="E36:J36"/>
    <mergeCell ref="H10:J10"/>
    <mergeCell ref="H14:I14"/>
    <mergeCell ref="H13:I13"/>
    <mergeCell ref="D24:E24"/>
    <mergeCell ref="D10:F10"/>
    <mergeCell ref="E30:I33"/>
    <mergeCell ref="B52:C52"/>
    <mergeCell ref="B53:C53"/>
    <mergeCell ref="G68:I68"/>
    <mergeCell ref="G69:I69"/>
    <mergeCell ref="G62:I62"/>
    <mergeCell ref="B59:D59"/>
    <mergeCell ref="B60:D60"/>
    <mergeCell ref="G66:I66"/>
    <mergeCell ref="B68:D68"/>
    <mergeCell ref="B69:D69"/>
    <mergeCell ref="B66:D66"/>
    <mergeCell ref="B67:D67"/>
    <mergeCell ref="G59:I59"/>
    <mergeCell ref="G60:I60"/>
    <mergeCell ref="G61:I61"/>
    <mergeCell ref="G65:I65"/>
    <mergeCell ref="G70:I70"/>
    <mergeCell ref="B71:D71"/>
    <mergeCell ref="B61:D61"/>
    <mergeCell ref="B62:D62"/>
    <mergeCell ref="G67:I67"/>
    <mergeCell ref="B65:D65"/>
    <mergeCell ref="B63:D63"/>
    <mergeCell ref="B64:D64"/>
    <mergeCell ref="G63:I63"/>
    <mergeCell ref="G64:I64"/>
    <mergeCell ref="B70:D70"/>
  </mergeCells>
  <phoneticPr fontId="2" type="noConversion"/>
  <conditionalFormatting sqref="E83:M83">
    <cfRule type="cellIs" dxfId="3" priority="1" stopIfTrue="1" operator="equal">
      <formula>"Problem"</formula>
    </cfRule>
  </conditionalFormatting>
  <dataValidations xWindow="944" yWindow="387" count="20">
    <dataValidation type="list" allowBlank="1" showInputMessage="1" showErrorMessage="1" error="Does system typical include beltline electrical?" prompt="Does system typical include beltline electrical?" sqref="E40:J40">
      <formula1>Beltline_Electrical</formula1>
    </dataValidation>
    <dataValidation type="list" allowBlank="1" showInputMessage="1" showErrorMessage="1" error="Select dominant workstation cluster configuration for typical." prompt="What is dominant workstation cluster configuration for typical?" sqref="E39:J39">
      <formula1>Cluster</formula1>
    </dataValidation>
    <dataValidation type="whole" allowBlank="1" showInputMessage="1" showErrorMessage="1" error="Enter the workstation count using a value between 1 and 1,000." prompt="Enter the workstation count using a value between 1 and 1,000." sqref="E38:J38">
      <formula1>1</formula1>
      <formula2>1000</formula2>
    </dataValidation>
    <dataValidation type="whole" allowBlank="1" showInputMessage="1" showErrorMessage="1" sqref="E43:J55">
      <formula1>1</formula1>
      <formula2>5000</formula2>
    </dataValidation>
    <dataValidation type="decimal" allowBlank="1" showInputMessage="1" showErrorMessage="1" error="Permitted discounts 0% to 25%." prompt="Permitted discounts 0% to 25%." sqref="L85">
      <formula1>0</formula1>
      <formula2>100</formula2>
    </dataValidation>
    <dataValidation type="whole" allowBlank="1" showInputMessage="1" showErrorMessage="1" error="Enter a quantity from 1 to 1,000." prompt="Enter a quantity from 1 to 1,000." sqref="E59:E60 E62">
      <formula1>1</formula1>
      <formula2>1000</formula2>
    </dataValidation>
    <dataValidation type="whole" allowBlank="1" showInputMessage="1" showErrorMessage="1" error="Enter a quantity from 1 to 500." prompt="Enter a quantity from 1 to 500." sqref="E61 E63:E71">
      <formula1>1</formula1>
      <formula2>500</formula2>
    </dataValidation>
    <dataValidation type="list" allowBlank="1" showInputMessage="1" showErrorMessage="1" error="Select the furniture product category being installed." prompt="Select the furniture product category being installed." sqref="B59:B71">
      <formula1>Casegoods_Line</formula1>
    </dataValidation>
    <dataValidation type="list" allowBlank="1" showInputMessage="1" showErrorMessage="1" error="Select the system line being installed." prompt="Select the system line being installed." sqref="C30:C35">
      <formula1>System_Line</formula1>
    </dataValidation>
    <dataValidation type="list" allowBlank="1" showInputMessage="1" showErrorMessage="1" sqref="H8:J8">
      <formula1>Client_Name</formula1>
    </dataValidation>
    <dataValidation type="list" allowBlank="1" showInputMessage="1" showErrorMessage="1" sqref="D8:F8">
      <formula1>Dealer_Name</formula1>
    </dataValidation>
    <dataValidation allowBlank="1" prompt="_x000a_" sqref="D20:E21"/>
    <dataValidation type="list" allowBlank="1" sqref="D24:E24">
      <formula1>Site_Conditions</formula1>
    </dataValidation>
    <dataValidation allowBlank="1" sqref="F24"/>
    <dataValidation type="decimal" allowBlank="1" showInputMessage="1" showErrorMessage="1" error="Permitted discounts 0% to 25%." prompt="Permitted discounts 0% to 25%." sqref="J85">
      <formula1>0</formula1>
      <formula2>100</formula2>
    </dataValidation>
    <dataValidation allowBlank="1" showInputMessage="1" showErrorMessage="1" error="Permitted std bill rate adjustment between (-30% and 30%)" prompt="Permitted std bill rate adjustment " sqref="E109:J109 L109"/>
    <dataValidation type="list" allowBlank="1" showInputMessage="1" showErrorMessage="1" sqref="G59:I66">
      <formula1>miscresrc</formula1>
    </dataValidation>
    <dataValidation type="decimal" allowBlank="1" showInputMessage="1" showErrorMessage="1" error="Permitted discounts 0% to 25%." prompt="Permitted discounts 0% to 25%." sqref="E85:I85">
      <formula1>0</formula1>
      <formula2>100</formula2>
    </dataValidation>
    <dataValidation type="textLength" operator="lessThanOrEqual" allowBlank="1" showInputMessage="1" showErrorMessage="1" sqref="G68:I70">
      <formula1>150</formula1>
    </dataValidation>
    <dataValidation type="textLength" operator="lessThanOrEqual" allowBlank="1" showInputMessage="1" showErrorMessage="1" errorTitle="Comment too long" error="Comments are limited to 250 characters." sqref="F34:I34 J30:J34 E34 E30:I33">
      <formula1>250</formula1>
    </dataValidation>
  </dataValidations>
  <pageMargins left="0.6" right="0.6" top="0.5" bottom="0.5" header="0.5" footer="0.5"/>
  <pageSetup paperSize="3" scale="54" orientation="portrait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6561" r:id="rId4" name="Button 177">
              <controlPr defaultSize="0" print="0" autoFill="0" autoPict="0" macro="[0]!upload_create">
                <anchor moveWithCells="1" sizeWithCells="1">
                  <from>
                    <xdr:col>11</xdr:col>
                    <xdr:colOff>12700</xdr:colOff>
                    <xdr:row>136</xdr:row>
                    <xdr:rowOff>50800</xdr:rowOff>
                  </from>
                  <to>
                    <xdr:col>12</xdr:col>
                    <xdr:colOff>495300</xdr:colOff>
                    <xdr:row>136</xdr:row>
                    <xdr:rowOff>596900</xdr:rowOff>
                  </to>
                </anchor>
              </controlPr>
            </control>
          </mc:Choice>
          <mc:Fallback/>
        </mc:AlternateContent>
        <mc:AlternateContent>
          <mc:Choice Requires="x14">
            <control shapeId="16562" r:id="rId5" name="Button 178">
              <controlPr defaultSize="0" print="0" autoFill="0" autoPict="0" macro="[1]!Module3.Reset_Input_Parameters">
                <anchor moveWithCells="1" sizeWithCells="1">
                  <from>
                    <xdr:col>9</xdr:col>
                    <xdr:colOff>63500</xdr:colOff>
                    <xdr:row>136</xdr:row>
                    <xdr:rowOff>50800</xdr:rowOff>
                  </from>
                  <to>
                    <xdr:col>10</xdr:col>
                    <xdr:colOff>546100</xdr:colOff>
                    <xdr:row>136</xdr:row>
                    <xdr:rowOff>596900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N91"/>
  <sheetViews>
    <sheetView workbookViewId="0">
      <pane xSplit="4" ySplit="4" topLeftCell="E5" activePane="bottomRight" state="frozen"/>
      <selection activeCell="M31" sqref="M31"/>
      <selection pane="topRight" activeCell="M31" sqref="M31"/>
      <selection pane="bottomLeft" activeCell="M31" sqref="M31"/>
      <selection pane="bottomRight" activeCell="M31" sqref="M31"/>
    </sheetView>
  </sheetViews>
  <sheetFormatPr baseColWidth="10" defaultColWidth="0" defaultRowHeight="13" x14ac:dyDescent="0.15"/>
  <cols>
    <col min="1" max="3" customWidth="true" style="109" width="1.6640625" collapsed="true"/>
    <col min="4" max="4" customWidth="true" style="109" width="38.6640625" collapsed="true"/>
    <col min="5" max="13" customWidth="true" style="109" width="9.6640625" collapsed="true"/>
    <col min="14" max="14" customWidth="true" style="109" width="1.6640625" collapsed="true"/>
    <col min="15" max="16384" hidden="true" style="109" width="0.0" collapsed="true"/>
  </cols>
  <sheetData>
    <row r="1" spans="1:14" ht="16" x14ac:dyDescent="0.2">
      <c r="A1" s="183"/>
      <c r="B1" s="233" t="str">
        <f>'Input Specification and Output'!D3</f>
        <v>Minneapolis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</row>
    <row r="2" spans="1:14" ht="14" thickBot="1" x14ac:dyDescent="0.2">
      <c r="A2" s="183"/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</row>
    <row r="3" spans="1:14" ht="17" thickBot="1" x14ac:dyDescent="0.25">
      <c r="A3" s="183"/>
      <c r="B3" s="184"/>
      <c r="C3" s="184"/>
      <c r="D3" s="183"/>
      <c r="E3" s="569" t="s">
        <v>297</v>
      </c>
      <c r="F3" s="570"/>
      <c r="G3" s="570"/>
      <c r="H3" s="570"/>
      <c r="I3" s="570"/>
      <c r="J3" s="570"/>
      <c r="K3" s="570"/>
      <c r="L3" s="570"/>
      <c r="M3" s="571"/>
      <c r="N3" s="183"/>
    </row>
    <row r="4" spans="1:14" x14ac:dyDescent="0.15">
      <c r="A4" s="183"/>
      <c r="B4" s="183"/>
      <c r="C4" s="183"/>
      <c r="D4" s="183"/>
      <c r="E4" s="234" t="s">
        <v>86</v>
      </c>
      <c r="F4" s="234" t="s">
        <v>87</v>
      </c>
      <c r="G4" s="234" t="s">
        <v>88</v>
      </c>
      <c r="H4" s="234" t="s">
        <v>89</v>
      </c>
      <c r="I4" s="234" t="s">
        <v>90</v>
      </c>
      <c r="J4" s="234" t="s">
        <v>91</v>
      </c>
      <c r="K4" s="235" t="s">
        <v>80</v>
      </c>
      <c r="L4" s="236" t="s">
        <v>257</v>
      </c>
      <c r="M4" s="235" t="s">
        <v>98</v>
      </c>
      <c r="N4" s="183"/>
    </row>
    <row r="5" spans="1:14" x14ac:dyDescent="0.15">
      <c r="A5" s="183"/>
      <c r="B5" s="184" t="s">
        <v>296</v>
      </c>
      <c r="C5" s="184"/>
      <c r="D5" s="237"/>
      <c r="E5" s="238">
        <f>'Build ROC Job Quote'!E13</f>
        <v>0</v>
      </c>
      <c r="F5" s="238">
        <f>'Build ROC Job Quote'!E14</f>
        <v>0</v>
      </c>
      <c r="G5" s="238">
        <f>'Build ROC Job Quote'!E15</f>
        <v>0</v>
      </c>
      <c r="H5" s="238">
        <f>'Build ROC Job Quote'!E16</f>
        <v>0</v>
      </c>
      <c r="I5" s="238">
        <f>'Build ROC Job Quote'!E17</f>
        <v>0</v>
      </c>
      <c r="J5" s="238">
        <f>'Build ROC Job Quote'!E18</f>
        <v>0</v>
      </c>
      <c r="K5" s="239">
        <f>SUM(E5:J5)</f>
        <v>0</v>
      </c>
      <c r="L5" s="238">
        <f>'Build ROC Job Quote'!E34</f>
        <v>0</v>
      </c>
      <c r="M5" s="240">
        <f>SUM(K5:L5)</f>
        <v>0</v>
      </c>
      <c r="N5" s="183"/>
    </row>
    <row r="6" spans="1:14" x14ac:dyDescent="0.15">
      <c r="A6" s="183"/>
      <c r="B6" s="184" t="s">
        <v>318</v>
      </c>
      <c r="C6" s="184"/>
      <c r="D6" s="237"/>
      <c r="E6" s="238">
        <f t="shared" ref="E6:J6" si="0">E7*0.24</f>
        <v>0</v>
      </c>
      <c r="F6" s="238">
        <f t="shared" si="0"/>
        <v>0</v>
      </c>
      <c r="G6" s="238">
        <f t="shared" si="0"/>
        <v>0</v>
      </c>
      <c r="H6" s="238">
        <f t="shared" si="0"/>
        <v>0</v>
      </c>
      <c r="I6" s="238">
        <f t="shared" si="0"/>
        <v>0</v>
      </c>
      <c r="J6" s="238">
        <f t="shared" si="0"/>
        <v>0</v>
      </c>
      <c r="K6" s="239">
        <f>SUM(E6:J6)</f>
        <v>0</v>
      </c>
      <c r="L6" s="238">
        <f>L7*0.24</f>
        <v>0</v>
      </c>
      <c r="M6" s="240">
        <f>SUM(K6:L6)</f>
        <v>0</v>
      </c>
      <c r="N6" s="183"/>
    </row>
    <row r="7" spans="1:14" x14ac:dyDescent="0.15">
      <c r="A7" s="183"/>
      <c r="B7" s="184" t="s">
        <v>317</v>
      </c>
      <c r="C7" s="184"/>
      <c r="D7" s="237"/>
      <c r="E7" s="238">
        <f>'Build ROC Job Quote'!F13</f>
        <v>0</v>
      </c>
      <c r="F7" s="238">
        <f>'Build ROC Job Quote'!F14</f>
        <v>0</v>
      </c>
      <c r="G7" s="238">
        <f>'Build ROC Job Quote'!F15</f>
        <v>0</v>
      </c>
      <c r="H7" s="238">
        <f>'Build ROC Job Quote'!F16</f>
        <v>0</v>
      </c>
      <c r="I7" s="238">
        <f>'Build ROC Job Quote'!F17</f>
        <v>0</v>
      </c>
      <c r="J7" s="238">
        <f>'Build ROC Job Quote'!F18</f>
        <v>0</v>
      </c>
      <c r="K7" s="239">
        <f>SUM(E7:J7)</f>
        <v>0</v>
      </c>
      <c r="L7" s="238">
        <f>'Build ROC Job Quote'!F34</f>
        <v>0</v>
      </c>
      <c r="M7" s="240">
        <f>SUM(K7:L7)</f>
        <v>0</v>
      </c>
      <c r="N7" s="183"/>
    </row>
    <row r="8" spans="1:14" ht="6" customHeight="1" x14ac:dyDescent="0.15">
      <c r="A8" s="183"/>
      <c r="B8" s="184"/>
      <c r="C8" s="184"/>
      <c r="D8" s="183"/>
      <c r="E8" s="238"/>
      <c r="F8" s="238"/>
      <c r="G8" s="238"/>
      <c r="H8" s="238"/>
      <c r="I8" s="238"/>
      <c r="J8" s="238"/>
      <c r="K8" s="240"/>
      <c r="L8" s="241"/>
      <c r="M8" s="240"/>
      <c r="N8" s="183"/>
    </row>
    <row r="9" spans="1:14" x14ac:dyDescent="0.15">
      <c r="A9" s="183"/>
      <c r="B9" s="184" t="s">
        <v>361</v>
      </c>
      <c r="C9" s="184"/>
      <c r="D9" s="183"/>
      <c r="E9" s="183"/>
      <c r="F9" s="183"/>
      <c r="G9" s="183"/>
      <c r="H9" s="183"/>
      <c r="I9" s="183"/>
      <c r="J9" s="183"/>
      <c r="K9" s="242"/>
      <c r="L9" s="184"/>
      <c r="M9" s="242"/>
      <c r="N9" s="183"/>
    </row>
    <row r="10" spans="1:14" x14ac:dyDescent="0.15">
      <c r="A10" s="183"/>
      <c r="B10" s="183"/>
      <c r="C10" s="183" t="s">
        <v>294</v>
      </c>
      <c r="D10" s="183"/>
      <c r="E10" s="243">
        <f>'Build ROC Job Quote'!G13</f>
        <v>0</v>
      </c>
      <c r="F10" s="243">
        <f>'Build ROC Job Quote'!G14</f>
        <v>0</v>
      </c>
      <c r="G10" s="243">
        <f>'Build ROC Job Quote'!G15</f>
        <v>0</v>
      </c>
      <c r="H10" s="243">
        <f>'Build ROC Job Quote'!G16</f>
        <v>0</v>
      </c>
      <c r="I10" s="243">
        <f>'Build ROC Job Quote'!G17</f>
        <v>0</v>
      </c>
      <c r="J10" s="243">
        <f>'Build ROC Job Quote'!G18</f>
        <v>0</v>
      </c>
      <c r="K10" s="244">
        <f t="shared" ref="K10:K18" si="1">SUM(E10:J10)</f>
        <v>0</v>
      </c>
      <c r="L10" s="245">
        <f>'Build ROC Job Quote'!G34</f>
        <v>0</v>
      </c>
      <c r="M10" s="246">
        <f t="shared" ref="M10:M18" si="2">SUM(K10:L10)</f>
        <v>0</v>
      </c>
      <c r="N10" s="183"/>
    </row>
    <row r="11" spans="1:14" x14ac:dyDescent="0.15">
      <c r="A11" s="183"/>
      <c r="B11" s="183"/>
      <c r="C11" s="183" t="s">
        <v>65</v>
      </c>
      <c r="D11" s="183"/>
      <c r="E11" s="243">
        <f>'Build ROC Job Quote'!H13</f>
        <v>0</v>
      </c>
      <c r="F11" s="243">
        <f>'Build ROC Job Quote'!H14</f>
        <v>0</v>
      </c>
      <c r="G11" s="243">
        <f>'Build ROC Job Quote'!H15</f>
        <v>0</v>
      </c>
      <c r="H11" s="243">
        <f>'Build ROC Job Quote'!H16</f>
        <v>0</v>
      </c>
      <c r="I11" s="243">
        <f>'Build ROC Job Quote'!H17</f>
        <v>0</v>
      </c>
      <c r="J11" s="243">
        <f>'Build ROC Job Quote'!H18</f>
        <v>0</v>
      </c>
      <c r="K11" s="244">
        <f t="shared" si="1"/>
        <v>0</v>
      </c>
      <c r="L11" s="245">
        <f>'Build ROC Job Quote'!H34</f>
        <v>0</v>
      </c>
      <c r="M11" s="246">
        <f t="shared" si="2"/>
        <v>0</v>
      </c>
      <c r="N11" s="183"/>
    </row>
    <row r="12" spans="1:14" x14ac:dyDescent="0.15">
      <c r="A12" s="183"/>
      <c r="B12" s="183"/>
      <c r="C12" s="247" t="s">
        <v>84</v>
      </c>
      <c r="D12" s="183"/>
      <c r="E12" s="248">
        <f>'Build ROC Job Quote'!L13</f>
        <v>0</v>
      </c>
      <c r="F12" s="248">
        <f>'Build ROC Job Quote'!L14</f>
        <v>0</v>
      </c>
      <c r="G12" s="248">
        <f>'Build ROC Job Quote'!L15</f>
        <v>0</v>
      </c>
      <c r="H12" s="248">
        <f>'Build ROC Job Quote'!L16</f>
        <v>0</v>
      </c>
      <c r="I12" s="248">
        <f>'Build ROC Job Quote'!L17</f>
        <v>0</v>
      </c>
      <c r="J12" s="248">
        <f>'Build ROC Job Quote'!L18</f>
        <v>0</v>
      </c>
      <c r="K12" s="249">
        <f t="shared" si="1"/>
        <v>0</v>
      </c>
      <c r="L12" s="248">
        <f>'Build ROC Job Quote'!L34</f>
        <v>0</v>
      </c>
      <c r="M12" s="246">
        <f t="shared" si="2"/>
        <v>0</v>
      </c>
      <c r="N12" s="183"/>
    </row>
    <row r="13" spans="1:14" x14ac:dyDescent="0.15">
      <c r="A13" s="183"/>
      <c r="B13" s="183"/>
      <c r="C13" s="247" t="s">
        <v>143</v>
      </c>
      <c r="D13" s="183"/>
      <c r="E13" s="248">
        <f>'Build ROC Job Quote'!K13</f>
        <v>0</v>
      </c>
      <c r="F13" s="248">
        <f>'Build ROC Job Quote'!K14</f>
        <v>0</v>
      </c>
      <c r="G13" s="248">
        <f>'Build ROC Job Quote'!K15</f>
        <v>0</v>
      </c>
      <c r="H13" s="248">
        <f>'Build ROC Job Quote'!K16</f>
        <v>0</v>
      </c>
      <c r="I13" s="248">
        <f>'Build ROC Job Quote'!K17</f>
        <v>0</v>
      </c>
      <c r="J13" s="248">
        <f>'Build ROC Job Quote'!J18</f>
        <v>0</v>
      </c>
      <c r="K13" s="249">
        <f t="shared" si="1"/>
        <v>0</v>
      </c>
      <c r="L13" s="248">
        <f>'Build ROC Job Quote'!K34</f>
        <v>0</v>
      </c>
      <c r="M13" s="246">
        <f t="shared" si="2"/>
        <v>0</v>
      </c>
      <c r="N13" s="183"/>
    </row>
    <row r="14" spans="1:14" x14ac:dyDescent="0.15">
      <c r="A14" s="183"/>
      <c r="B14" s="183"/>
      <c r="C14" s="183" t="s">
        <v>206</v>
      </c>
      <c r="D14" s="183"/>
      <c r="E14" s="243">
        <f>'Build ROC Job Quote'!M13</f>
        <v>0</v>
      </c>
      <c r="F14" s="243">
        <f>'Build ROC Job Quote'!M14</f>
        <v>0</v>
      </c>
      <c r="G14" s="243">
        <f>'Build ROC Job Quote'!M15</f>
        <v>0</v>
      </c>
      <c r="H14" s="243">
        <f>'Build ROC Job Quote'!M16</f>
        <v>0</v>
      </c>
      <c r="I14" s="243">
        <f>'Build ROC Job Quote'!M17</f>
        <v>0</v>
      </c>
      <c r="J14" s="243">
        <f>'Build ROC Job Quote'!M18</f>
        <v>0</v>
      </c>
      <c r="K14" s="244">
        <f t="shared" si="1"/>
        <v>0</v>
      </c>
      <c r="L14" s="245">
        <f>'Build ROC Job Quote'!M34</f>
        <v>0</v>
      </c>
      <c r="M14" s="246">
        <f t="shared" si="2"/>
        <v>0</v>
      </c>
      <c r="N14" s="183"/>
    </row>
    <row r="15" spans="1:14" x14ac:dyDescent="0.15">
      <c r="A15" s="183"/>
      <c r="B15" s="183"/>
      <c r="C15" s="183" t="s">
        <v>295</v>
      </c>
      <c r="D15" s="183"/>
      <c r="E15" s="243">
        <f>'Build ROC Job Quote'!P13</f>
        <v>0</v>
      </c>
      <c r="F15" s="243">
        <f>'Build ROC Job Quote'!P14</f>
        <v>0</v>
      </c>
      <c r="G15" s="243">
        <f>'Build ROC Job Quote'!P15</f>
        <v>0</v>
      </c>
      <c r="H15" s="243">
        <f>'Build ROC Job Quote'!P16</f>
        <v>0</v>
      </c>
      <c r="I15" s="243">
        <f>'Build ROC Job Quote'!P17</f>
        <v>0</v>
      </c>
      <c r="J15" s="243">
        <f>'Build ROC Job Quote'!P18</f>
        <v>0</v>
      </c>
      <c r="K15" s="244">
        <f t="shared" si="1"/>
        <v>0</v>
      </c>
      <c r="L15" s="245">
        <f>'Build ROC Job Quote'!P34</f>
        <v>0</v>
      </c>
      <c r="M15" s="246">
        <f t="shared" si="2"/>
        <v>0</v>
      </c>
      <c r="N15" s="183"/>
    </row>
    <row r="16" spans="1:14" x14ac:dyDescent="0.15">
      <c r="A16" s="183"/>
      <c r="B16" s="183"/>
      <c r="C16" s="183" t="s">
        <v>69</v>
      </c>
      <c r="D16" s="183"/>
      <c r="E16" s="243">
        <f>'Build ROC Job Quote'!S13</f>
        <v>0</v>
      </c>
      <c r="F16" s="243">
        <f>'Build ROC Job Quote'!S14</f>
        <v>0</v>
      </c>
      <c r="G16" s="243">
        <f>'Build ROC Job Quote'!S15</f>
        <v>0</v>
      </c>
      <c r="H16" s="243">
        <f>'Build ROC Job Quote'!S16</f>
        <v>0</v>
      </c>
      <c r="I16" s="243">
        <f>'Build ROC Job Quote'!S17</f>
        <v>0</v>
      </c>
      <c r="J16" s="243">
        <f>'Build ROC Job Quote'!S18</f>
        <v>0</v>
      </c>
      <c r="K16" s="250">
        <f t="shared" si="1"/>
        <v>0</v>
      </c>
      <c r="L16" s="245">
        <f>'Build ROC Job Quote'!S34</f>
        <v>0</v>
      </c>
      <c r="M16" s="251">
        <f t="shared" si="2"/>
        <v>0</v>
      </c>
      <c r="N16" s="183"/>
    </row>
    <row r="17" spans="1:14" x14ac:dyDescent="0.15">
      <c r="A17" s="183"/>
      <c r="B17" s="183"/>
      <c r="C17" s="183" t="s">
        <v>256</v>
      </c>
      <c r="D17" s="183"/>
      <c r="E17" s="252">
        <f>'Build ROC Job Quote'!T13</f>
        <v>0</v>
      </c>
      <c r="F17" s="252">
        <f>'Build ROC Job Quote'!T14</f>
        <v>0</v>
      </c>
      <c r="G17" s="252">
        <f>'Build ROC Job Quote'!T15</f>
        <v>0</v>
      </c>
      <c r="H17" s="252">
        <f>'Build ROC Job Quote'!T16</f>
        <v>0</v>
      </c>
      <c r="I17" s="252">
        <f>'Build ROC Job Quote'!T17</f>
        <v>0</v>
      </c>
      <c r="J17" s="252">
        <f>'Build ROC Job Quote'!T18</f>
        <v>0</v>
      </c>
      <c r="K17" s="253">
        <f t="shared" si="1"/>
        <v>0</v>
      </c>
      <c r="L17" s="254">
        <f>'Build ROC Job Quote'!T34</f>
        <v>0</v>
      </c>
      <c r="M17" s="255">
        <f t="shared" si="2"/>
        <v>0</v>
      </c>
      <c r="N17" s="183"/>
    </row>
    <row r="18" spans="1:14" ht="14" thickBot="1" x14ac:dyDescent="0.2">
      <c r="A18" s="183"/>
      <c r="B18" s="183"/>
      <c r="C18" s="184" t="s">
        <v>319</v>
      </c>
      <c r="D18" s="237"/>
      <c r="E18" s="256">
        <f t="shared" ref="E18:J18" si="3">SUM(E10:E17)</f>
        <v>0</v>
      </c>
      <c r="F18" s="256">
        <f t="shared" si="3"/>
        <v>0</v>
      </c>
      <c r="G18" s="256">
        <f t="shared" si="3"/>
        <v>0</v>
      </c>
      <c r="H18" s="256">
        <f t="shared" si="3"/>
        <v>0</v>
      </c>
      <c r="I18" s="256">
        <f t="shared" si="3"/>
        <v>0</v>
      </c>
      <c r="J18" s="256">
        <f t="shared" si="3"/>
        <v>0</v>
      </c>
      <c r="K18" s="257">
        <f t="shared" si="1"/>
        <v>0</v>
      </c>
      <c r="L18" s="256">
        <f>SUM(L10:L17)</f>
        <v>0</v>
      </c>
      <c r="M18" s="257">
        <f t="shared" si="2"/>
        <v>0</v>
      </c>
      <c r="N18" s="183"/>
    </row>
    <row r="19" spans="1:14" ht="6" customHeight="1" thickTop="1" x14ac:dyDescent="0.15">
      <c r="A19" s="183"/>
      <c r="B19" s="184"/>
      <c r="C19" s="184"/>
      <c r="D19" s="183"/>
      <c r="E19" s="238"/>
      <c r="F19" s="238"/>
      <c r="G19" s="238"/>
      <c r="H19" s="238"/>
      <c r="I19" s="238"/>
      <c r="J19" s="238"/>
      <c r="K19" s="240"/>
      <c r="L19" s="241"/>
      <c r="M19" s="240"/>
      <c r="N19" s="183"/>
    </row>
    <row r="20" spans="1:14" x14ac:dyDescent="0.15">
      <c r="A20" s="183"/>
      <c r="B20" s="184" t="s">
        <v>298</v>
      </c>
      <c r="C20" s="183"/>
      <c r="D20" s="183"/>
      <c r="E20" s="258"/>
      <c r="F20" s="258"/>
      <c r="G20" s="258"/>
      <c r="H20" s="258"/>
      <c r="I20" s="258"/>
      <c r="J20" s="258"/>
      <c r="K20" s="259"/>
      <c r="L20" s="258"/>
      <c r="M20" s="259" t="str">
        <f>IF((M18-SUM(M12:M13))=0,"",(M33/(M18-SUM(M12:M13))))</f>
        <v/>
      </c>
      <c r="N20" s="183"/>
    </row>
    <row r="21" spans="1:14" ht="6" customHeight="1" x14ac:dyDescent="0.15">
      <c r="A21" s="183"/>
      <c r="B21" s="184"/>
      <c r="C21" s="184"/>
      <c r="D21" s="183"/>
      <c r="E21" s="238"/>
      <c r="F21" s="238"/>
      <c r="G21" s="238"/>
      <c r="H21" s="238"/>
      <c r="I21" s="238"/>
      <c r="J21" s="238"/>
      <c r="K21" s="240"/>
      <c r="L21" s="241"/>
      <c r="M21" s="240"/>
      <c r="N21" s="183"/>
    </row>
    <row r="22" spans="1:14" x14ac:dyDescent="0.15">
      <c r="A22" s="183"/>
      <c r="B22" s="184" t="s">
        <v>362</v>
      </c>
      <c r="C22" s="184"/>
      <c r="D22" s="183"/>
      <c r="E22" s="260"/>
      <c r="F22" s="260"/>
      <c r="G22" s="260"/>
      <c r="H22" s="260"/>
      <c r="I22" s="260"/>
      <c r="J22" s="260"/>
      <c r="K22" s="261"/>
      <c r="L22" s="260"/>
      <c r="M22" s="260"/>
      <c r="N22" s="183"/>
    </row>
    <row r="23" spans="1:14" x14ac:dyDescent="0.15">
      <c r="A23" s="183"/>
      <c r="B23" s="183"/>
      <c r="C23" s="183" t="s">
        <v>294</v>
      </c>
      <c r="D23" s="183"/>
      <c r="E23" s="243">
        <f t="shared" ref="E23:J24" si="4">(1-E$20)*E10</f>
        <v>0</v>
      </c>
      <c r="F23" s="243">
        <f t="shared" si="4"/>
        <v>0</v>
      </c>
      <c r="G23" s="243">
        <f t="shared" si="4"/>
        <v>0</v>
      </c>
      <c r="H23" s="243">
        <f t="shared" si="4"/>
        <v>0</v>
      </c>
      <c r="I23" s="243">
        <f t="shared" si="4"/>
        <v>0</v>
      </c>
      <c r="J23" s="243">
        <f t="shared" si="4"/>
        <v>0</v>
      </c>
      <c r="K23" s="244">
        <f t="shared" ref="K23:K31" si="5">SUM(E23:J23)</f>
        <v>0</v>
      </c>
      <c r="L23" s="243">
        <f>(1-L$20)*L10</f>
        <v>0</v>
      </c>
      <c r="M23" s="344">
        <f t="shared" ref="M23:M31" si="6">SUM(K23:L23)</f>
        <v>0</v>
      </c>
      <c r="N23" s="183"/>
    </row>
    <row r="24" spans="1:14" x14ac:dyDescent="0.15">
      <c r="A24" s="183"/>
      <c r="B24" s="183"/>
      <c r="C24" s="183" t="s">
        <v>65</v>
      </c>
      <c r="D24" s="183"/>
      <c r="E24" s="243">
        <f t="shared" si="4"/>
        <v>0</v>
      </c>
      <c r="F24" s="243">
        <f t="shared" si="4"/>
        <v>0</v>
      </c>
      <c r="G24" s="243">
        <f t="shared" si="4"/>
        <v>0</v>
      </c>
      <c r="H24" s="243">
        <f t="shared" si="4"/>
        <v>0</v>
      </c>
      <c r="I24" s="243">
        <f t="shared" si="4"/>
        <v>0</v>
      </c>
      <c r="J24" s="243">
        <f t="shared" si="4"/>
        <v>0</v>
      </c>
      <c r="K24" s="244">
        <f t="shared" si="5"/>
        <v>0</v>
      </c>
      <c r="L24" s="243">
        <f>(1-L$20)*L11</f>
        <v>0</v>
      </c>
      <c r="M24" s="344">
        <f t="shared" si="6"/>
        <v>0</v>
      </c>
      <c r="N24" s="183"/>
    </row>
    <row r="25" spans="1:14" x14ac:dyDescent="0.15">
      <c r="A25" s="183"/>
      <c r="B25" s="183"/>
      <c r="C25" s="247" t="s">
        <v>84</v>
      </c>
      <c r="D25" s="183"/>
      <c r="E25" s="248">
        <f t="shared" ref="E25:J26" si="7">E12</f>
        <v>0</v>
      </c>
      <c r="F25" s="248">
        <f t="shared" si="7"/>
        <v>0</v>
      </c>
      <c r="G25" s="248">
        <f t="shared" si="7"/>
        <v>0</v>
      </c>
      <c r="H25" s="248">
        <f t="shared" si="7"/>
        <v>0</v>
      </c>
      <c r="I25" s="248">
        <f t="shared" si="7"/>
        <v>0</v>
      </c>
      <c r="J25" s="248">
        <f t="shared" si="7"/>
        <v>0</v>
      </c>
      <c r="K25" s="249">
        <f t="shared" si="5"/>
        <v>0</v>
      </c>
      <c r="L25" s="248">
        <f>L12</f>
        <v>0</v>
      </c>
      <c r="M25" s="344">
        <f t="shared" si="6"/>
        <v>0</v>
      </c>
      <c r="N25" s="183"/>
    </row>
    <row r="26" spans="1:14" x14ac:dyDescent="0.15">
      <c r="A26" s="183"/>
      <c r="B26" s="183"/>
      <c r="C26" s="247" t="s">
        <v>143</v>
      </c>
      <c r="D26" s="183"/>
      <c r="E26" s="248">
        <f t="shared" si="7"/>
        <v>0</v>
      </c>
      <c r="F26" s="248">
        <f t="shared" si="7"/>
        <v>0</v>
      </c>
      <c r="G26" s="248">
        <f t="shared" si="7"/>
        <v>0</v>
      </c>
      <c r="H26" s="248">
        <f t="shared" si="7"/>
        <v>0</v>
      </c>
      <c r="I26" s="248">
        <f t="shared" si="7"/>
        <v>0</v>
      </c>
      <c r="J26" s="248">
        <f t="shared" si="7"/>
        <v>0</v>
      </c>
      <c r="K26" s="249">
        <f t="shared" si="5"/>
        <v>0</v>
      </c>
      <c r="L26" s="248">
        <f>L13</f>
        <v>0</v>
      </c>
      <c r="M26" s="344">
        <f t="shared" si="6"/>
        <v>0</v>
      </c>
      <c r="N26" s="183"/>
    </row>
    <row r="27" spans="1:14" x14ac:dyDescent="0.15">
      <c r="A27" s="183"/>
      <c r="B27" s="183"/>
      <c r="C27" s="183" t="s">
        <v>206</v>
      </c>
      <c r="D27" s="183"/>
      <c r="E27" s="243">
        <f t="shared" ref="E27:J30" si="8">(1-E$20)*E14</f>
        <v>0</v>
      </c>
      <c r="F27" s="243">
        <f t="shared" si="8"/>
        <v>0</v>
      </c>
      <c r="G27" s="243">
        <f t="shared" si="8"/>
        <v>0</v>
      </c>
      <c r="H27" s="243">
        <f t="shared" si="8"/>
        <v>0</v>
      </c>
      <c r="I27" s="243">
        <f t="shared" si="8"/>
        <v>0</v>
      </c>
      <c r="J27" s="243">
        <f t="shared" si="8"/>
        <v>0</v>
      </c>
      <c r="K27" s="244">
        <f t="shared" si="5"/>
        <v>0</v>
      </c>
      <c r="L27" s="243">
        <f>(1-L$20)*L14</f>
        <v>0</v>
      </c>
      <c r="M27" s="344">
        <f t="shared" si="6"/>
        <v>0</v>
      </c>
      <c r="N27" s="183"/>
    </row>
    <row r="28" spans="1:14" x14ac:dyDescent="0.15">
      <c r="A28" s="183"/>
      <c r="B28" s="183"/>
      <c r="C28" s="183" t="s">
        <v>295</v>
      </c>
      <c r="D28" s="183"/>
      <c r="E28" s="243">
        <f t="shared" si="8"/>
        <v>0</v>
      </c>
      <c r="F28" s="243">
        <f t="shared" si="8"/>
        <v>0</v>
      </c>
      <c r="G28" s="243">
        <f t="shared" si="8"/>
        <v>0</v>
      </c>
      <c r="H28" s="243">
        <f t="shared" si="8"/>
        <v>0</v>
      </c>
      <c r="I28" s="243">
        <f t="shared" si="8"/>
        <v>0</v>
      </c>
      <c r="J28" s="243">
        <f t="shared" si="8"/>
        <v>0</v>
      </c>
      <c r="K28" s="244">
        <f t="shared" si="5"/>
        <v>0</v>
      </c>
      <c r="L28" s="243">
        <f>(1-L$20)*L15</f>
        <v>0</v>
      </c>
      <c r="M28" s="344">
        <f t="shared" si="6"/>
        <v>0</v>
      </c>
      <c r="N28" s="183"/>
    </row>
    <row r="29" spans="1:14" x14ac:dyDescent="0.15">
      <c r="A29" s="183"/>
      <c r="B29" s="183"/>
      <c r="C29" s="183" t="s">
        <v>69</v>
      </c>
      <c r="D29" s="183"/>
      <c r="E29" s="243">
        <f t="shared" si="8"/>
        <v>0</v>
      </c>
      <c r="F29" s="243">
        <f t="shared" si="8"/>
        <v>0</v>
      </c>
      <c r="G29" s="243">
        <f t="shared" si="8"/>
        <v>0</v>
      </c>
      <c r="H29" s="243">
        <f t="shared" si="8"/>
        <v>0</v>
      </c>
      <c r="I29" s="243">
        <f t="shared" si="8"/>
        <v>0</v>
      </c>
      <c r="J29" s="243">
        <f t="shared" si="8"/>
        <v>0</v>
      </c>
      <c r="K29" s="250">
        <f t="shared" si="5"/>
        <v>0</v>
      </c>
      <c r="L29" s="243">
        <f>(1-L$20)*L16</f>
        <v>0</v>
      </c>
      <c r="M29" s="345">
        <f t="shared" si="6"/>
        <v>0</v>
      </c>
      <c r="N29" s="183"/>
    </row>
    <row r="30" spans="1:14" x14ac:dyDescent="0.15">
      <c r="A30" s="183"/>
      <c r="B30" s="183"/>
      <c r="C30" s="183" t="s">
        <v>256</v>
      </c>
      <c r="D30" s="183"/>
      <c r="E30" s="243">
        <f t="shared" si="8"/>
        <v>0</v>
      </c>
      <c r="F30" s="243">
        <f t="shared" si="8"/>
        <v>0</v>
      </c>
      <c r="G30" s="243">
        <f t="shared" si="8"/>
        <v>0</v>
      </c>
      <c r="H30" s="243">
        <f t="shared" si="8"/>
        <v>0</v>
      </c>
      <c r="I30" s="243">
        <f t="shared" si="8"/>
        <v>0</v>
      </c>
      <c r="J30" s="243">
        <f t="shared" si="8"/>
        <v>0</v>
      </c>
      <c r="K30" s="253">
        <f t="shared" si="5"/>
        <v>0</v>
      </c>
      <c r="L30" s="243">
        <f>(1-L$20)*L17</f>
        <v>0</v>
      </c>
      <c r="M30" s="345">
        <f t="shared" si="6"/>
        <v>0</v>
      </c>
      <c r="N30" s="183"/>
    </row>
    <row r="31" spans="1:14" ht="14" thickBot="1" x14ac:dyDescent="0.2">
      <c r="A31" s="183"/>
      <c r="B31" s="183"/>
      <c r="C31" s="184" t="s">
        <v>320</v>
      </c>
      <c r="D31" s="237"/>
      <c r="E31" s="256">
        <f t="shared" ref="E31:J31" si="9">SUM(E23:E30)</f>
        <v>0</v>
      </c>
      <c r="F31" s="256">
        <f t="shared" si="9"/>
        <v>0</v>
      </c>
      <c r="G31" s="256">
        <f t="shared" si="9"/>
        <v>0</v>
      </c>
      <c r="H31" s="256">
        <f t="shared" si="9"/>
        <v>0</v>
      </c>
      <c r="I31" s="256">
        <f t="shared" si="9"/>
        <v>0</v>
      </c>
      <c r="J31" s="256">
        <f t="shared" si="9"/>
        <v>0</v>
      </c>
      <c r="K31" s="257">
        <f t="shared" si="5"/>
        <v>0</v>
      </c>
      <c r="L31" s="256">
        <f>SUM(L23:L30)</f>
        <v>0</v>
      </c>
      <c r="M31" s="345">
        <f t="shared" si="6"/>
        <v>0</v>
      </c>
      <c r="N31" s="183"/>
    </row>
    <row r="32" spans="1:14" ht="6" customHeight="1" thickTop="1" x14ac:dyDescent="0.15">
      <c r="A32" s="183"/>
      <c r="B32" s="184"/>
      <c r="C32" s="184"/>
      <c r="D32" s="183"/>
      <c r="E32" s="238"/>
      <c r="F32" s="238"/>
      <c r="G32" s="238"/>
      <c r="H32" s="238"/>
      <c r="I32" s="238"/>
      <c r="J32" s="238"/>
      <c r="K32" s="240"/>
      <c r="L32" s="241"/>
      <c r="M32" s="240"/>
      <c r="N32" s="183"/>
    </row>
    <row r="33" spans="1:14" x14ac:dyDescent="0.15">
      <c r="A33" s="183"/>
      <c r="B33" s="183"/>
      <c r="C33" s="184" t="s">
        <v>363</v>
      </c>
      <c r="D33" s="237"/>
      <c r="E33" s="262">
        <f t="shared" ref="E33:M33" si="10">E18-E31</f>
        <v>0</v>
      </c>
      <c r="F33" s="262">
        <f t="shared" si="10"/>
        <v>0</v>
      </c>
      <c r="G33" s="262">
        <f t="shared" si="10"/>
        <v>0</v>
      </c>
      <c r="H33" s="262">
        <f t="shared" si="10"/>
        <v>0</v>
      </c>
      <c r="I33" s="262">
        <f t="shared" si="10"/>
        <v>0</v>
      </c>
      <c r="J33" s="262">
        <f t="shared" si="10"/>
        <v>0</v>
      </c>
      <c r="K33" s="251">
        <f t="shared" si="10"/>
        <v>0</v>
      </c>
      <c r="L33" s="262">
        <f t="shared" si="10"/>
        <v>0</v>
      </c>
      <c r="M33" s="251">
        <f t="shared" si="10"/>
        <v>0</v>
      </c>
      <c r="N33" s="183"/>
    </row>
    <row r="34" spans="1:14" ht="6" customHeight="1" x14ac:dyDescent="0.15">
      <c r="A34" s="183"/>
      <c r="B34" s="263"/>
      <c r="C34" s="263"/>
      <c r="D34" s="204"/>
      <c r="E34" s="264"/>
      <c r="F34" s="264"/>
      <c r="G34" s="264"/>
      <c r="H34" s="264"/>
      <c r="I34" s="264"/>
      <c r="J34" s="264"/>
      <c r="K34" s="265"/>
      <c r="L34" s="266"/>
      <c r="M34" s="265"/>
      <c r="N34" s="183"/>
    </row>
    <row r="35" spans="1:14" x14ac:dyDescent="0.15">
      <c r="A35" s="183"/>
      <c r="B35" s="184" t="s">
        <v>321</v>
      </c>
      <c r="C35" s="184"/>
      <c r="D35" s="183"/>
      <c r="E35" s="183"/>
      <c r="F35" s="183"/>
      <c r="G35" s="183"/>
      <c r="H35" s="183"/>
      <c r="I35" s="183"/>
      <c r="J35" s="183"/>
      <c r="K35" s="267"/>
      <c r="L35" s="183"/>
      <c r="M35" s="268"/>
      <c r="N35" s="183"/>
    </row>
    <row r="36" spans="1:14" x14ac:dyDescent="0.15">
      <c r="A36" s="183"/>
      <c r="B36" s="183"/>
      <c r="C36" s="183" t="s">
        <v>294</v>
      </c>
      <c r="D36" s="183"/>
      <c r="E36" s="269">
        <f t="shared" ref="E36:J36" si="11">VLOOKUP($B$1,Bill_Rates,2)</f>
        <v>0</v>
      </c>
      <c r="F36" s="269">
        <f t="shared" si="11"/>
        <v>0</v>
      </c>
      <c r="G36" s="269">
        <f t="shared" si="11"/>
        <v>0</v>
      </c>
      <c r="H36" s="269">
        <f t="shared" si="11"/>
        <v>0</v>
      </c>
      <c r="I36" s="269">
        <f t="shared" si="11"/>
        <v>0</v>
      </c>
      <c r="J36" s="269">
        <f t="shared" si="11"/>
        <v>0</v>
      </c>
      <c r="K36" s="267"/>
      <c r="L36" s="269">
        <f>VLOOKUP($B$1,Bill_Rates,2)</f>
        <v>0</v>
      </c>
      <c r="M36" s="267"/>
      <c r="N36" s="183"/>
    </row>
    <row r="37" spans="1:14" x14ac:dyDescent="0.15">
      <c r="A37" s="183"/>
      <c r="B37" s="183"/>
      <c r="C37" s="183" t="s">
        <v>65</v>
      </c>
      <c r="D37" s="183"/>
      <c r="E37" s="269">
        <f t="shared" ref="E37:J37" si="12">VLOOKUP($B$1,Bill_Rates,3)</f>
        <v>0</v>
      </c>
      <c r="F37" s="269">
        <f t="shared" si="12"/>
        <v>0</v>
      </c>
      <c r="G37" s="269">
        <f t="shared" si="12"/>
        <v>0</v>
      </c>
      <c r="H37" s="269">
        <f t="shared" si="12"/>
        <v>0</v>
      </c>
      <c r="I37" s="269">
        <f t="shared" si="12"/>
        <v>0</v>
      </c>
      <c r="J37" s="269">
        <f t="shared" si="12"/>
        <v>0</v>
      </c>
      <c r="K37" s="267"/>
      <c r="L37" s="269">
        <f>VLOOKUP($B$1,Bill_Rates,3)</f>
        <v>0</v>
      </c>
      <c r="M37" s="267"/>
      <c r="N37" s="183"/>
    </row>
    <row r="38" spans="1:14" x14ac:dyDescent="0.15">
      <c r="A38" s="183"/>
      <c r="B38" s="183"/>
      <c r="C38" s="183" t="s">
        <v>84</v>
      </c>
      <c r="D38" s="183"/>
      <c r="E38" s="269">
        <f t="shared" ref="E38:J38" si="13">VLOOKUP($B$1,Bill_Rates,4)</f>
        <v>0</v>
      </c>
      <c r="F38" s="269">
        <f t="shared" si="13"/>
        <v>0</v>
      </c>
      <c r="G38" s="269">
        <f t="shared" si="13"/>
        <v>0</v>
      </c>
      <c r="H38" s="269">
        <f t="shared" si="13"/>
        <v>0</v>
      </c>
      <c r="I38" s="269">
        <f t="shared" si="13"/>
        <v>0</v>
      </c>
      <c r="J38" s="269">
        <f t="shared" si="13"/>
        <v>0</v>
      </c>
      <c r="K38" s="267"/>
      <c r="L38" s="269">
        <f>VLOOKUP($B$1,Bill_Rates,4)</f>
        <v>0</v>
      </c>
      <c r="M38" s="267"/>
      <c r="N38" s="183"/>
    </row>
    <row r="39" spans="1:14" x14ac:dyDescent="0.15">
      <c r="A39" s="183"/>
      <c r="B39" s="183"/>
      <c r="C39" s="183" t="s">
        <v>143</v>
      </c>
      <c r="D39" s="183"/>
      <c r="E39" s="269">
        <f t="shared" ref="E39:J39" si="14">VLOOKUP($B$1,Bill_Rates,13)</f>
        <v>0</v>
      </c>
      <c r="F39" s="269">
        <f t="shared" si="14"/>
        <v>0</v>
      </c>
      <c r="G39" s="269">
        <f t="shared" si="14"/>
        <v>0</v>
      </c>
      <c r="H39" s="269">
        <f t="shared" si="14"/>
        <v>0</v>
      </c>
      <c r="I39" s="269">
        <f t="shared" si="14"/>
        <v>0</v>
      </c>
      <c r="J39" s="269">
        <f t="shared" si="14"/>
        <v>0</v>
      </c>
      <c r="K39" s="267"/>
      <c r="L39" s="269">
        <f>VLOOKUP($B$1,Bill_Rates,13)</f>
        <v>0</v>
      </c>
      <c r="M39" s="267"/>
      <c r="N39" s="183"/>
    </row>
    <row r="40" spans="1:14" x14ac:dyDescent="0.15">
      <c r="A40" s="183"/>
      <c r="B40" s="183"/>
      <c r="C40" s="183" t="s">
        <v>206</v>
      </c>
      <c r="D40" s="183"/>
      <c r="E40" s="269">
        <f t="shared" ref="E40:J40" si="15">VLOOKUP($B$1,Bill_Rates,14)</f>
        <v>0</v>
      </c>
      <c r="F40" s="269">
        <f t="shared" si="15"/>
        <v>0</v>
      </c>
      <c r="G40" s="269">
        <f t="shared" si="15"/>
        <v>0</v>
      </c>
      <c r="H40" s="269">
        <f t="shared" si="15"/>
        <v>0</v>
      </c>
      <c r="I40" s="269">
        <f t="shared" si="15"/>
        <v>0</v>
      </c>
      <c r="J40" s="269">
        <f t="shared" si="15"/>
        <v>0</v>
      </c>
      <c r="K40" s="267"/>
      <c r="L40" s="269">
        <f>VLOOKUP($B$1,Bill_Rates,14)</f>
        <v>0</v>
      </c>
      <c r="M40" s="267"/>
      <c r="N40" s="183"/>
    </row>
    <row r="41" spans="1:14" x14ac:dyDescent="0.15">
      <c r="A41" s="183"/>
      <c r="B41" s="183"/>
      <c r="C41" s="183" t="s">
        <v>295</v>
      </c>
      <c r="D41" s="183"/>
      <c r="E41" s="269">
        <f t="shared" ref="E41:J41" si="16">VLOOKUP($B$1,Bill_Rates,15)</f>
        <v>0</v>
      </c>
      <c r="F41" s="269">
        <f t="shared" si="16"/>
        <v>0</v>
      </c>
      <c r="G41" s="269">
        <f t="shared" si="16"/>
        <v>0</v>
      </c>
      <c r="H41" s="269">
        <f t="shared" si="16"/>
        <v>0</v>
      </c>
      <c r="I41" s="269">
        <f t="shared" si="16"/>
        <v>0</v>
      </c>
      <c r="J41" s="269">
        <f t="shared" si="16"/>
        <v>0</v>
      </c>
      <c r="K41" s="267"/>
      <c r="L41" s="269">
        <f>VLOOKUP($B$1,Bill_Rates,15)</f>
        <v>0</v>
      </c>
      <c r="M41" s="267"/>
      <c r="N41" s="183"/>
    </row>
    <row r="42" spans="1:14" x14ac:dyDescent="0.15">
      <c r="A42" s="183"/>
      <c r="B42" s="183"/>
      <c r="C42" s="183" t="s">
        <v>69</v>
      </c>
      <c r="D42" s="183"/>
      <c r="E42" s="269">
        <f t="shared" ref="E42:J42" si="17">VLOOKUP($B$1,Bill_Rates,8)</f>
        <v>0</v>
      </c>
      <c r="F42" s="269">
        <f t="shared" si="17"/>
        <v>0</v>
      </c>
      <c r="G42" s="269">
        <f t="shared" si="17"/>
        <v>0</v>
      </c>
      <c r="H42" s="269">
        <f t="shared" si="17"/>
        <v>0</v>
      </c>
      <c r="I42" s="269">
        <f t="shared" si="17"/>
        <v>0</v>
      </c>
      <c r="J42" s="269">
        <f t="shared" si="17"/>
        <v>0</v>
      </c>
      <c r="K42" s="267"/>
      <c r="L42" s="269">
        <f>VLOOKUP($B$1,Bill_Rates,8)</f>
        <v>0</v>
      </c>
      <c r="M42" s="267"/>
      <c r="N42" s="183"/>
    </row>
    <row r="43" spans="1:14" x14ac:dyDescent="0.15">
      <c r="A43" s="183"/>
      <c r="B43" s="183"/>
      <c r="C43" s="183" t="s">
        <v>256</v>
      </c>
      <c r="D43" s="183"/>
      <c r="E43" s="269">
        <f t="shared" ref="E43:J43" si="18">VLOOKUP($B$1,Bill_Rates,9)</f>
        <v>0</v>
      </c>
      <c r="F43" s="269">
        <f t="shared" si="18"/>
        <v>0</v>
      </c>
      <c r="G43" s="269">
        <f t="shared" si="18"/>
        <v>0</v>
      </c>
      <c r="H43" s="269">
        <f t="shared" si="18"/>
        <v>0</v>
      </c>
      <c r="I43" s="269">
        <f t="shared" si="18"/>
        <v>0</v>
      </c>
      <c r="J43" s="269">
        <f t="shared" si="18"/>
        <v>0</v>
      </c>
      <c r="K43" s="267"/>
      <c r="L43" s="269">
        <f>VLOOKUP($B$1,Bill_Rates,9)</f>
        <v>0</v>
      </c>
      <c r="M43" s="267"/>
      <c r="N43" s="183"/>
    </row>
    <row r="44" spans="1:14" ht="6" customHeight="1" x14ac:dyDescent="0.15">
      <c r="A44" s="183"/>
      <c r="B44" s="184"/>
      <c r="C44" s="184"/>
      <c r="D44" s="183"/>
      <c r="E44" s="238"/>
      <c r="F44" s="238"/>
      <c r="G44" s="238"/>
      <c r="H44" s="238"/>
      <c r="I44" s="238"/>
      <c r="J44" s="238"/>
      <c r="K44" s="240"/>
      <c r="L44" s="241"/>
      <c r="M44" s="240"/>
      <c r="N44" s="183"/>
    </row>
    <row r="45" spans="1:14" x14ac:dyDescent="0.15">
      <c r="A45" s="183"/>
      <c r="B45" s="184" t="s">
        <v>359</v>
      </c>
      <c r="C45" s="184"/>
      <c r="D45" s="183"/>
      <c r="E45" s="183"/>
      <c r="F45" s="183"/>
      <c r="G45" s="183"/>
      <c r="H45" s="183"/>
      <c r="I45" s="183"/>
      <c r="J45" s="183"/>
      <c r="K45" s="267"/>
      <c r="L45" s="183"/>
      <c r="M45" s="267"/>
      <c r="N45" s="183"/>
    </row>
    <row r="46" spans="1:14" x14ac:dyDescent="0.15">
      <c r="A46" s="183"/>
      <c r="B46" s="183"/>
      <c r="C46" s="183" t="s">
        <v>294</v>
      </c>
      <c r="D46" s="183"/>
      <c r="E46" s="270">
        <f t="shared" ref="E46:J53" si="19">E10*E36</f>
        <v>0</v>
      </c>
      <c r="F46" s="270">
        <f t="shared" si="19"/>
        <v>0</v>
      </c>
      <c r="G46" s="270">
        <f t="shared" si="19"/>
        <v>0</v>
      </c>
      <c r="H46" s="270">
        <f t="shared" si="19"/>
        <v>0</v>
      </c>
      <c r="I46" s="270">
        <f t="shared" si="19"/>
        <v>0</v>
      </c>
      <c r="J46" s="270">
        <f t="shared" si="19"/>
        <v>0</v>
      </c>
      <c r="K46" s="271">
        <f t="shared" ref="K46:K53" si="20">SUM(E46:J46)</f>
        <v>0</v>
      </c>
      <c r="L46" s="270">
        <f t="shared" ref="L46:L53" si="21">L10*L36</f>
        <v>0</v>
      </c>
      <c r="M46" s="341">
        <f t="shared" ref="M46:M53" si="22">SUM(K46:L46)</f>
        <v>0</v>
      </c>
      <c r="N46" s="183"/>
    </row>
    <row r="47" spans="1:14" x14ac:dyDescent="0.15">
      <c r="A47" s="183"/>
      <c r="B47" s="183"/>
      <c r="C47" s="183" t="s">
        <v>65</v>
      </c>
      <c r="D47" s="183"/>
      <c r="E47" s="270">
        <f t="shared" si="19"/>
        <v>0</v>
      </c>
      <c r="F47" s="270">
        <f t="shared" si="19"/>
        <v>0</v>
      </c>
      <c r="G47" s="270">
        <f t="shared" si="19"/>
        <v>0</v>
      </c>
      <c r="H47" s="270">
        <f t="shared" si="19"/>
        <v>0</v>
      </c>
      <c r="I47" s="270">
        <f t="shared" si="19"/>
        <v>0</v>
      </c>
      <c r="J47" s="270">
        <f t="shared" si="19"/>
        <v>0</v>
      </c>
      <c r="K47" s="271">
        <f t="shared" si="20"/>
        <v>0</v>
      </c>
      <c r="L47" s="270">
        <f t="shared" si="21"/>
        <v>0</v>
      </c>
      <c r="M47" s="341">
        <f t="shared" si="22"/>
        <v>0</v>
      </c>
      <c r="N47" s="183"/>
    </row>
    <row r="48" spans="1:14" x14ac:dyDescent="0.15">
      <c r="A48" s="183"/>
      <c r="B48" s="183"/>
      <c r="C48" s="183" t="s">
        <v>84</v>
      </c>
      <c r="D48" s="183"/>
      <c r="E48" s="270">
        <f t="shared" si="19"/>
        <v>0</v>
      </c>
      <c r="F48" s="270">
        <f t="shared" si="19"/>
        <v>0</v>
      </c>
      <c r="G48" s="270">
        <f t="shared" si="19"/>
        <v>0</v>
      </c>
      <c r="H48" s="270">
        <f t="shared" si="19"/>
        <v>0</v>
      </c>
      <c r="I48" s="270">
        <f t="shared" si="19"/>
        <v>0</v>
      </c>
      <c r="J48" s="270">
        <f t="shared" si="19"/>
        <v>0</v>
      </c>
      <c r="K48" s="271">
        <f t="shared" si="20"/>
        <v>0</v>
      </c>
      <c r="L48" s="270">
        <f t="shared" si="21"/>
        <v>0</v>
      </c>
      <c r="M48" s="341">
        <f t="shared" si="22"/>
        <v>0</v>
      </c>
      <c r="N48" s="183"/>
    </row>
    <row r="49" spans="1:14" x14ac:dyDescent="0.15">
      <c r="A49" s="183"/>
      <c r="B49" s="183"/>
      <c r="C49" s="183" t="s">
        <v>143</v>
      </c>
      <c r="D49" s="183"/>
      <c r="E49" s="270">
        <f t="shared" si="19"/>
        <v>0</v>
      </c>
      <c r="F49" s="270">
        <f t="shared" si="19"/>
        <v>0</v>
      </c>
      <c r="G49" s="270">
        <f t="shared" si="19"/>
        <v>0</v>
      </c>
      <c r="H49" s="270">
        <f t="shared" si="19"/>
        <v>0</v>
      </c>
      <c r="I49" s="270">
        <f t="shared" si="19"/>
        <v>0</v>
      </c>
      <c r="J49" s="270">
        <f t="shared" si="19"/>
        <v>0</v>
      </c>
      <c r="K49" s="271">
        <f t="shared" si="20"/>
        <v>0</v>
      </c>
      <c r="L49" s="270">
        <f t="shared" si="21"/>
        <v>0</v>
      </c>
      <c r="M49" s="341">
        <f t="shared" si="22"/>
        <v>0</v>
      </c>
      <c r="N49" s="183"/>
    </row>
    <row r="50" spans="1:14" x14ac:dyDescent="0.15">
      <c r="A50" s="183"/>
      <c r="B50" s="183"/>
      <c r="C50" s="183" t="s">
        <v>206</v>
      </c>
      <c r="D50" s="183"/>
      <c r="E50" s="270">
        <f t="shared" si="19"/>
        <v>0</v>
      </c>
      <c r="F50" s="270">
        <f t="shared" si="19"/>
        <v>0</v>
      </c>
      <c r="G50" s="270">
        <f t="shared" si="19"/>
        <v>0</v>
      </c>
      <c r="H50" s="270">
        <f t="shared" si="19"/>
        <v>0</v>
      </c>
      <c r="I50" s="270">
        <f t="shared" si="19"/>
        <v>0</v>
      </c>
      <c r="J50" s="270">
        <f t="shared" si="19"/>
        <v>0</v>
      </c>
      <c r="K50" s="271">
        <f t="shared" si="20"/>
        <v>0</v>
      </c>
      <c r="L50" s="270">
        <f t="shared" si="21"/>
        <v>0</v>
      </c>
      <c r="M50" s="341">
        <f t="shared" si="22"/>
        <v>0</v>
      </c>
      <c r="N50" s="183"/>
    </row>
    <row r="51" spans="1:14" x14ac:dyDescent="0.15">
      <c r="A51" s="183"/>
      <c r="B51" s="183"/>
      <c r="C51" s="183" t="s">
        <v>295</v>
      </c>
      <c r="D51" s="183"/>
      <c r="E51" s="270">
        <f t="shared" si="19"/>
        <v>0</v>
      </c>
      <c r="F51" s="270">
        <f t="shared" si="19"/>
        <v>0</v>
      </c>
      <c r="G51" s="270">
        <f t="shared" si="19"/>
        <v>0</v>
      </c>
      <c r="H51" s="270">
        <f t="shared" si="19"/>
        <v>0</v>
      </c>
      <c r="I51" s="270">
        <f t="shared" si="19"/>
        <v>0</v>
      </c>
      <c r="J51" s="270">
        <f t="shared" si="19"/>
        <v>0</v>
      </c>
      <c r="K51" s="271">
        <f t="shared" si="20"/>
        <v>0</v>
      </c>
      <c r="L51" s="270">
        <f t="shared" si="21"/>
        <v>0</v>
      </c>
      <c r="M51" s="341">
        <f t="shared" si="22"/>
        <v>0</v>
      </c>
      <c r="N51" s="183"/>
    </row>
    <row r="52" spans="1:14" x14ac:dyDescent="0.15">
      <c r="A52" s="183"/>
      <c r="B52" s="183"/>
      <c r="C52" s="183" t="s">
        <v>69</v>
      </c>
      <c r="D52" s="183"/>
      <c r="E52" s="270">
        <f t="shared" si="19"/>
        <v>0</v>
      </c>
      <c r="F52" s="270">
        <f t="shared" si="19"/>
        <v>0</v>
      </c>
      <c r="G52" s="270">
        <f t="shared" si="19"/>
        <v>0</v>
      </c>
      <c r="H52" s="270">
        <f t="shared" si="19"/>
        <v>0</v>
      </c>
      <c r="I52" s="270">
        <f t="shared" si="19"/>
        <v>0</v>
      </c>
      <c r="J52" s="270">
        <f t="shared" si="19"/>
        <v>0</v>
      </c>
      <c r="K52" s="271">
        <f t="shared" si="20"/>
        <v>0</v>
      </c>
      <c r="L52" s="270">
        <f t="shared" si="21"/>
        <v>0</v>
      </c>
      <c r="M52" s="341">
        <f t="shared" si="22"/>
        <v>0</v>
      </c>
      <c r="N52" s="183"/>
    </row>
    <row r="53" spans="1:14" x14ac:dyDescent="0.15">
      <c r="A53" s="183"/>
      <c r="B53" s="183"/>
      <c r="C53" s="183" t="s">
        <v>256</v>
      </c>
      <c r="D53" s="183"/>
      <c r="E53" s="270">
        <f t="shared" si="19"/>
        <v>0</v>
      </c>
      <c r="F53" s="270">
        <f t="shared" si="19"/>
        <v>0</v>
      </c>
      <c r="G53" s="270">
        <f t="shared" si="19"/>
        <v>0</v>
      </c>
      <c r="H53" s="270">
        <f t="shared" si="19"/>
        <v>0</v>
      </c>
      <c r="I53" s="270">
        <f t="shared" si="19"/>
        <v>0</v>
      </c>
      <c r="J53" s="270">
        <f t="shared" si="19"/>
        <v>0</v>
      </c>
      <c r="K53" s="271">
        <f t="shared" si="20"/>
        <v>0</v>
      </c>
      <c r="L53" s="270">
        <f t="shared" si="21"/>
        <v>0</v>
      </c>
      <c r="M53" s="341">
        <f t="shared" si="22"/>
        <v>0</v>
      </c>
      <c r="N53" s="183"/>
    </row>
    <row r="54" spans="1:14" x14ac:dyDescent="0.15">
      <c r="A54" s="183"/>
      <c r="B54" s="217" t="s">
        <v>352</v>
      </c>
      <c r="C54" s="201"/>
      <c r="D54" s="201"/>
      <c r="E54" s="272">
        <f t="shared" ref="E54:M54" si="23">SUM(E46:E53)</f>
        <v>0</v>
      </c>
      <c r="F54" s="272">
        <f t="shared" si="23"/>
        <v>0</v>
      </c>
      <c r="G54" s="272">
        <f t="shared" si="23"/>
        <v>0</v>
      </c>
      <c r="H54" s="272">
        <f t="shared" si="23"/>
        <v>0</v>
      </c>
      <c r="I54" s="272">
        <f t="shared" si="23"/>
        <v>0</v>
      </c>
      <c r="J54" s="272">
        <f t="shared" si="23"/>
        <v>0</v>
      </c>
      <c r="K54" s="273">
        <f t="shared" si="23"/>
        <v>0</v>
      </c>
      <c r="L54" s="272">
        <f t="shared" si="23"/>
        <v>0</v>
      </c>
      <c r="M54" s="342">
        <f t="shared" si="23"/>
        <v>0</v>
      </c>
      <c r="N54" s="183"/>
    </row>
    <row r="55" spans="1:14" ht="6" customHeight="1" x14ac:dyDescent="0.15">
      <c r="A55" s="183"/>
      <c r="B55" s="184"/>
      <c r="C55" s="184"/>
      <c r="D55" s="237"/>
      <c r="E55" s="238"/>
      <c r="F55" s="238"/>
      <c r="G55" s="238"/>
      <c r="H55" s="238"/>
      <c r="I55" s="238"/>
      <c r="J55" s="238"/>
      <c r="K55" s="240"/>
      <c r="L55" s="241"/>
      <c r="M55" s="240"/>
      <c r="N55" s="183"/>
    </row>
    <row r="56" spans="1:14" x14ac:dyDescent="0.15">
      <c r="A56" s="183"/>
      <c r="B56" s="184" t="s">
        <v>322</v>
      </c>
      <c r="C56" s="237"/>
      <c r="D56" s="237"/>
      <c r="E56" s="258"/>
      <c r="F56" s="258"/>
      <c r="G56" s="258"/>
      <c r="H56" s="258"/>
      <c r="I56" s="258"/>
      <c r="J56" s="258"/>
      <c r="K56" s="259" t="str">
        <f>IF(K54=0,"",(K54-K58)/K54)</f>
        <v/>
      </c>
      <c r="L56" s="258"/>
      <c r="M56" s="259" t="str">
        <f>IF(M54=0,"",(M54-M58)/M54)</f>
        <v/>
      </c>
      <c r="N56" s="183"/>
    </row>
    <row r="57" spans="1:14" ht="6" customHeight="1" x14ac:dyDescent="0.15">
      <c r="A57" s="183"/>
      <c r="B57" s="184"/>
      <c r="C57" s="184"/>
      <c r="D57" s="237"/>
      <c r="E57" s="238"/>
      <c r="F57" s="238"/>
      <c r="G57" s="238"/>
      <c r="H57" s="238"/>
      <c r="I57" s="238"/>
      <c r="J57" s="238"/>
      <c r="K57" s="240"/>
      <c r="L57" s="241"/>
      <c r="M57" s="240"/>
      <c r="N57" s="183"/>
    </row>
    <row r="58" spans="1:14" x14ac:dyDescent="0.15">
      <c r="A58" s="183"/>
      <c r="B58" s="218" t="s">
        <v>353</v>
      </c>
      <c r="C58" s="274"/>
      <c r="D58" s="274"/>
      <c r="E58" s="275">
        <f t="shared" ref="E58:J58" si="24">E54*(1-E56)</f>
        <v>0</v>
      </c>
      <c r="F58" s="275">
        <f t="shared" si="24"/>
        <v>0</v>
      </c>
      <c r="G58" s="275">
        <f t="shared" si="24"/>
        <v>0</v>
      </c>
      <c r="H58" s="275">
        <f t="shared" si="24"/>
        <v>0</v>
      </c>
      <c r="I58" s="275">
        <f t="shared" si="24"/>
        <v>0</v>
      </c>
      <c r="J58" s="275">
        <f t="shared" si="24"/>
        <v>0</v>
      </c>
      <c r="K58" s="276">
        <f>SUM(E58:J58)</f>
        <v>0</v>
      </c>
      <c r="L58" s="275">
        <f>L54*(1-L56)</f>
        <v>0</v>
      </c>
      <c r="M58" s="277">
        <f>SUM(K58:L58)</f>
        <v>0</v>
      </c>
      <c r="N58" s="183"/>
    </row>
    <row r="59" spans="1:14" x14ac:dyDescent="0.15">
      <c r="A59" s="183"/>
      <c r="B59" s="274"/>
      <c r="C59" s="218" t="s">
        <v>293</v>
      </c>
      <c r="D59" s="274"/>
      <c r="E59" s="278" t="str">
        <f t="shared" ref="E59:M59" si="25">IF(E31=0,"",E58/E31)</f>
        <v/>
      </c>
      <c r="F59" s="278" t="str">
        <f t="shared" si="25"/>
        <v/>
      </c>
      <c r="G59" s="278" t="str">
        <f t="shared" si="25"/>
        <v/>
      </c>
      <c r="H59" s="278" t="str">
        <f t="shared" si="25"/>
        <v/>
      </c>
      <c r="I59" s="278" t="str">
        <f t="shared" si="25"/>
        <v/>
      </c>
      <c r="J59" s="278" t="str">
        <f t="shared" si="25"/>
        <v/>
      </c>
      <c r="K59" s="279" t="str">
        <f t="shared" si="25"/>
        <v/>
      </c>
      <c r="L59" s="278" t="str">
        <f t="shared" si="25"/>
        <v/>
      </c>
      <c r="M59" s="279" t="str">
        <f t="shared" si="25"/>
        <v/>
      </c>
      <c r="N59" s="183"/>
    </row>
    <row r="60" spans="1:14" ht="6" customHeight="1" x14ac:dyDescent="0.15">
      <c r="A60" s="183"/>
      <c r="B60" s="184"/>
      <c r="C60" s="184"/>
      <c r="D60" s="183"/>
      <c r="E60" s="238"/>
      <c r="F60" s="238"/>
      <c r="G60" s="238"/>
      <c r="H60" s="238"/>
      <c r="I60" s="238"/>
      <c r="J60" s="238"/>
      <c r="K60" s="240"/>
      <c r="L60" s="241"/>
      <c r="M60" s="240"/>
      <c r="N60" s="183"/>
    </row>
    <row r="61" spans="1:14" x14ac:dyDescent="0.15">
      <c r="A61" s="183"/>
      <c r="B61" s="184" t="s">
        <v>323</v>
      </c>
      <c r="C61" s="184"/>
      <c r="D61" s="183"/>
      <c r="E61" s="183"/>
      <c r="F61" s="183"/>
      <c r="G61" s="183"/>
      <c r="H61" s="183"/>
      <c r="I61" s="183"/>
      <c r="J61" s="183"/>
      <c r="K61" s="267"/>
      <c r="L61" s="183"/>
      <c r="M61" s="267"/>
      <c r="N61" s="183"/>
    </row>
    <row r="62" spans="1:14" x14ac:dyDescent="0.15">
      <c r="A62" s="183"/>
      <c r="B62" s="183"/>
      <c r="C62" s="183" t="s">
        <v>294</v>
      </c>
      <c r="D62" s="183"/>
      <c r="E62" s="269">
        <f t="shared" ref="E62:J62" si="26">VLOOKUP($B$1,Cost_Rates,2)</f>
        <v>0</v>
      </c>
      <c r="F62" s="269">
        <f t="shared" si="26"/>
        <v>0</v>
      </c>
      <c r="G62" s="269">
        <f t="shared" si="26"/>
        <v>0</v>
      </c>
      <c r="H62" s="269">
        <f t="shared" si="26"/>
        <v>0</v>
      </c>
      <c r="I62" s="269">
        <f t="shared" si="26"/>
        <v>0</v>
      </c>
      <c r="J62" s="269">
        <f t="shared" si="26"/>
        <v>0</v>
      </c>
      <c r="K62" s="267"/>
      <c r="L62" s="269">
        <f>VLOOKUP($B$1,Cost_Rates,2)</f>
        <v>0</v>
      </c>
      <c r="M62" s="267"/>
      <c r="N62" s="183"/>
    </row>
    <row r="63" spans="1:14" x14ac:dyDescent="0.15">
      <c r="A63" s="183"/>
      <c r="B63" s="183"/>
      <c r="C63" s="183" t="s">
        <v>65</v>
      </c>
      <c r="D63" s="183"/>
      <c r="E63" s="269">
        <f t="shared" ref="E63:J63" si="27">VLOOKUP($B$1,Cost_Rates,3)</f>
        <v>0</v>
      </c>
      <c r="F63" s="269">
        <f t="shared" si="27"/>
        <v>0</v>
      </c>
      <c r="G63" s="269">
        <f t="shared" si="27"/>
        <v>0</v>
      </c>
      <c r="H63" s="269">
        <f t="shared" si="27"/>
        <v>0</v>
      </c>
      <c r="I63" s="269">
        <f t="shared" si="27"/>
        <v>0</v>
      </c>
      <c r="J63" s="269">
        <f t="shared" si="27"/>
        <v>0</v>
      </c>
      <c r="K63" s="267"/>
      <c r="L63" s="269">
        <f>VLOOKUP($B$1,Cost_Rates,3)</f>
        <v>0</v>
      </c>
      <c r="M63" s="267"/>
      <c r="N63" s="183"/>
    </row>
    <row r="64" spans="1:14" x14ac:dyDescent="0.15">
      <c r="A64" s="183"/>
      <c r="B64" s="183"/>
      <c r="C64" s="183" t="s">
        <v>84</v>
      </c>
      <c r="D64" s="183"/>
      <c r="E64" s="269">
        <f t="shared" ref="E64:J64" si="28">VLOOKUP($B$1,Cost_Rates,4)</f>
        <v>0</v>
      </c>
      <c r="F64" s="269">
        <f t="shared" si="28"/>
        <v>0</v>
      </c>
      <c r="G64" s="269">
        <f t="shared" si="28"/>
        <v>0</v>
      </c>
      <c r="H64" s="269">
        <f t="shared" si="28"/>
        <v>0</v>
      </c>
      <c r="I64" s="269">
        <f t="shared" si="28"/>
        <v>0</v>
      </c>
      <c r="J64" s="269">
        <f t="shared" si="28"/>
        <v>0</v>
      </c>
      <c r="K64" s="267"/>
      <c r="L64" s="269">
        <f>VLOOKUP($B$1,Cost_Rates,4)</f>
        <v>0</v>
      </c>
      <c r="M64" s="267"/>
      <c r="N64" s="183"/>
    </row>
    <row r="65" spans="1:14" x14ac:dyDescent="0.15">
      <c r="A65" s="183"/>
      <c r="B65" s="183"/>
      <c r="C65" s="183" t="s">
        <v>143</v>
      </c>
      <c r="D65" s="183"/>
      <c r="E65" s="269">
        <f t="shared" ref="E65:J65" si="29">VLOOKUP($B$1,Cost_Rates,13)</f>
        <v>0</v>
      </c>
      <c r="F65" s="269">
        <f t="shared" si="29"/>
        <v>0</v>
      </c>
      <c r="G65" s="269">
        <f t="shared" si="29"/>
        <v>0</v>
      </c>
      <c r="H65" s="269">
        <f t="shared" si="29"/>
        <v>0</v>
      </c>
      <c r="I65" s="269">
        <f t="shared" si="29"/>
        <v>0</v>
      </c>
      <c r="J65" s="269">
        <f t="shared" si="29"/>
        <v>0</v>
      </c>
      <c r="K65" s="267"/>
      <c r="L65" s="269">
        <f>VLOOKUP($B$1,Cost_Rates,13)</f>
        <v>0</v>
      </c>
      <c r="M65" s="267"/>
      <c r="N65" s="183"/>
    </row>
    <row r="66" spans="1:14" x14ac:dyDescent="0.15">
      <c r="A66" s="183"/>
      <c r="B66" s="183"/>
      <c r="C66" s="183" t="s">
        <v>206</v>
      </c>
      <c r="D66" s="183"/>
      <c r="E66" s="269">
        <f t="shared" ref="E66:J66" si="30">VLOOKUP($B$1,Cost_Rates,14)</f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7"/>
      <c r="L66" s="269">
        <f>VLOOKUP($B$1,Cost_Rates,14)</f>
        <v>0</v>
      </c>
      <c r="M66" s="267"/>
      <c r="N66" s="183"/>
    </row>
    <row r="67" spans="1:14" x14ac:dyDescent="0.15">
      <c r="A67" s="183"/>
      <c r="B67" s="183"/>
      <c r="C67" s="183" t="s">
        <v>295</v>
      </c>
      <c r="D67" s="183"/>
      <c r="E67" s="269">
        <f t="shared" ref="E67:J67" si="31">VLOOKUP($B$1,Cost_Rates,15)</f>
        <v>0</v>
      </c>
      <c r="F67" s="269">
        <f t="shared" si="31"/>
        <v>0</v>
      </c>
      <c r="G67" s="269">
        <f t="shared" si="31"/>
        <v>0</v>
      </c>
      <c r="H67" s="269">
        <f t="shared" si="31"/>
        <v>0</v>
      </c>
      <c r="I67" s="269">
        <f t="shared" si="31"/>
        <v>0</v>
      </c>
      <c r="J67" s="269">
        <f t="shared" si="31"/>
        <v>0</v>
      </c>
      <c r="K67" s="267"/>
      <c r="L67" s="269">
        <f>VLOOKUP($B$1,Cost_Rates,15)</f>
        <v>0</v>
      </c>
      <c r="M67" s="267"/>
      <c r="N67" s="183"/>
    </row>
    <row r="68" spans="1:14" x14ac:dyDescent="0.15">
      <c r="A68" s="183"/>
      <c r="B68" s="183"/>
      <c r="C68" s="183" t="s">
        <v>69</v>
      </c>
      <c r="D68" s="183"/>
      <c r="E68" s="269">
        <f t="shared" ref="E68:J68" si="32">VLOOKUP($B$1,Cost_Rates,8)</f>
        <v>0</v>
      </c>
      <c r="F68" s="269">
        <f t="shared" si="32"/>
        <v>0</v>
      </c>
      <c r="G68" s="269">
        <f t="shared" si="32"/>
        <v>0</v>
      </c>
      <c r="H68" s="269">
        <f t="shared" si="32"/>
        <v>0</v>
      </c>
      <c r="I68" s="269">
        <f t="shared" si="32"/>
        <v>0</v>
      </c>
      <c r="J68" s="269">
        <f t="shared" si="32"/>
        <v>0</v>
      </c>
      <c r="K68" s="267"/>
      <c r="L68" s="269">
        <f>VLOOKUP($B$1,Cost_Rates,8)</f>
        <v>0</v>
      </c>
      <c r="M68" s="267"/>
      <c r="N68" s="183"/>
    </row>
    <row r="69" spans="1:14" x14ac:dyDescent="0.15">
      <c r="A69" s="183"/>
      <c r="B69" s="183"/>
      <c r="C69" s="183" t="s">
        <v>256</v>
      </c>
      <c r="D69" s="183"/>
      <c r="E69" s="269">
        <f t="shared" ref="E69:J69" si="33">VLOOKUP($B$1,Cost_Rates,9)</f>
        <v>0</v>
      </c>
      <c r="F69" s="269">
        <f t="shared" si="33"/>
        <v>0</v>
      </c>
      <c r="G69" s="269">
        <f t="shared" si="33"/>
        <v>0</v>
      </c>
      <c r="H69" s="269">
        <f t="shared" si="33"/>
        <v>0</v>
      </c>
      <c r="I69" s="269">
        <f t="shared" si="33"/>
        <v>0</v>
      </c>
      <c r="J69" s="269">
        <f t="shared" si="33"/>
        <v>0</v>
      </c>
      <c r="K69" s="267"/>
      <c r="L69" s="269">
        <f>VLOOKUP($B$1,Cost_Rates,9)</f>
        <v>0</v>
      </c>
      <c r="M69" s="267"/>
      <c r="N69" s="183"/>
    </row>
    <row r="70" spans="1:14" ht="6" customHeight="1" x14ac:dyDescent="0.15">
      <c r="A70" s="183"/>
      <c r="B70" s="184"/>
      <c r="C70" s="184"/>
      <c r="D70" s="183"/>
      <c r="E70" s="238"/>
      <c r="F70" s="238"/>
      <c r="G70" s="238"/>
      <c r="H70" s="238"/>
      <c r="I70" s="238"/>
      <c r="J70" s="238"/>
      <c r="K70" s="240"/>
      <c r="L70" s="241"/>
      <c r="M70" s="240"/>
      <c r="N70" s="183"/>
    </row>
    <row r="71" spans="1:14" x14ac:dyDescent="0.15">
      <c r="A71" s="183"/>
      <c r="B71" s="184" t="s">
        <v>360</v>
      </c>
      <c r="C71" s="183"/>
      <c r="D71" s="183"/>
      <c r="E71" s="280"/>
      <c r="F71" s="183"/>
      <c r="G71" s="183"/>
      <c r="H71" s="183"/>
      <c r="I71" s="183"/>
      <c r="J71" s="183"/>
      <c r="K71" s="267"/>
      <c r="L71" s="183"/>
      <c r="M71" s="267"/>
      <c r="N71" s="183"/>
    </row>
    <row r="72" spans="1:14" x14ac:dyDescent="0.15">
      <c r="A72" s="183"/>
      <c r="B72" s="183"/>
      <c r="C72" s="183" t="s">
        <v>294</v>
      </c>
      <c r="D72" s="183"/>
      <c r="E72" s="270">
        <f t="shared" ref="E72:J79" si="34">E23*E62</f>
        <v>0</v>
      </c>
      <c r="F72" s="270">
        <f t="shared" si="34"/>
        <v>0</v>
      </c>
      <c r="G72" s="270">
        <f t="shared" si="34"/>
        <v>0</v>
      </c>
      <c r="H72" s="270">
        <f t="shared" si="34"/>
        <v>0</v>
      </c>
      <c r="I72" s="270">
        <f t="shared" si="34"/>
        <v>0</v>
      </c>
      <c r="J72" s="270">
        <f t="shared" si="34"/>
        <v>0</v>
      </c>
      <c r="K72" s="271">
        <f t="shared" ref="K72:K80" si="35">SUM(E72:J72)</f>
        <v>0</v>
      </c>
      <c r="L72" s="270">
        <f t="shared" ref="L72:L79" si="36">L23*L62</f>
        <v>0</v>
      </c>
      <c r="M72" s="341">
        <f t="shared" ref="M72:M80" si="37">SUM(K72:L72)</f>
        <v>0</v>
      </c>
      <c r="N72" s="183"/>
    </row>
    <row r="73" spans="1:14" x14ac:dyDescent="0.15">
      <c r="A73" s="183"/>
      <c r="B73" s="183"/>
      <c r="C73" s="183" t="s">
        <v>65</v>
      </c>
      <c r="D73" s="183"/>
      <c r="E73" s="270">
        <f t="shared" si="34"/>
        <v>0</v>
      </c>
      <c r="F73" s="270">
        <f t="shared" si="34"/>
        <v>0</v>
      </c>
      <c r="G73" s="270">
        <f t="shared" si="34"/>
        <v>0</v>
      </c>
      <c r="H73" s="270">
        <f t="shared" si="34"/>
        <v>0</v>
      </c>
      <c r="I73" s="270">
        <f t="shared" si="34"/>
        <v>0</v>
      </c>
      <c r="J73" s="270">
        <f t="shared" si="34"/>
        <v>0</v>
      </c>
      <c r="K73" s="271">
        <f t="shared" si="35"/>
        <v>0</v>
      </c>
      <c r="L73" s="270">
        <f t="shared" si="36"/>
        <v>0</v>
      </c>
      <c r="M73" s="341">
        <f t="shared" si="37"/>
        <v>0</v>
      </c>
      <c r="N73" s="183"/>
    </row>
    <row r="74" spans="1:14" x14ac:dyDescent="0.15">
      <c r="A74" s="183"/>
      <c r="B74" s="183"/>
      <c r="C74" s="183" t="s">
        <v>84</v>
      </c>
      <c r="D74" s="183"/>
      <c r="E74" s="270">
        <f t="shared" si="34"/>
        <v>0</v>
      </c>
      <c r="F74" s="270">
        <f t="shared" si="34"/>
        <v>0</v>
      </c>
      <c r="G74" s="270">
        <f t="shared" si="34"/>
        <v>0</v>
      </c>
      <c r="H74" s="270">
        <f t="shared" si="34"/>
        <v>0</v>
      </c>
      <c r="I74" s="270">
        <f t="shared" si="34"/>
        <v>0</v>
      </c>
      <c r="J74" s="270">
        <f t="shared" si="34"/>
        <v>0</v>
      </c>
      <c r="K74" s="271">
        <f t="shared" si="35"/>
        <v>0</v>
      </c>
      <c r="L74" s="270">
        <f t="shared" si="36"/>
        <v>0</v>
      </c>
      <c r="M74" s="341">
        <f t="shared" si="37"/>
        <v>0</v>
      </c>
      <c r="N74" s="183"/>
    </row>
    <row r="75" spans="1:14" x14ac:dyDescent="0.15">
      <c r="A75" s="183"/>
      <c r="B75" s="183"/>
      <c r="C75" s="183" t="s">
        <v>143</v>
      </c>
      <c r="D75" s="183"/>
      <c r="E75" s="270">
        <f t="shared" si="34"/>
        <v>0</v>
      </c>
      <c r="F75" s="270">
        <f t="shared" si="34"/>
        <v>0</v>
      </c>
      <c r="G75" s="270">
        <f t="shared" si="34"/>
        <v>0</v>
      </c>
      <c r="H75" s="270">
        <f t="shared" si="34"/>
        <v>0</v>
      </c>
      <c r="I75" s="270">
        <f t="shared" si="34"/>
        <v>0</v>
      </c>
      <c r="J75" s="270">
        <f t="shared" si="34"/>
        <v>0</v>
      </c>
      <c r="K75" s="271">
        <f t="shared" si="35"/>
        <v>0</v>
      </c>
      <c r="L75" s="270">
        <f t="shared" si="36"/>
        <v>0</v>
      </c>
      <c r="M75" s="341">
        <f t="shared" si="37"/>
        <v>0</v>
      </c>
      <c r="N75" s="183"/>
    </row>
    <row r="76" spans="1:14" x14ac:dyDescent="0.15">
      <c r="A76" s="183"/>
      <c r="B76" s="183"/>
      <c r="C76" s="183" t="s">
        <v>206</v>
      </c>
      <c r="D76" s="183"/>
      <c r="E76" s="270">
        <f t="shared" si="34"/>
        <v>0</v>
      </c>
      <c r="F76" s="270">
        <f t="shared" si="34"/>
        <v>0</v>
      </c>
      <c r="G76" s="270">
        <f t="shared" si="34"/>
        <v>0</v>
      </c>
      <c r="H76" s="270">
        <f t="shared" si="34"/>
        <v>0</v>
      </c>
      <c r="I76" s="270">
        <f t="shared" si="34"/>
        <v>0</v>
      </c>
      <c r="J76" s="270">
        <f t="shared" si="34"/>
        <v>0</v>
      </c>
      <c r="K76" s="271">
        <f t="shared" si="35"/>
        <v>0</v>
      </c>
      <c r="L76" s="270">
        <f t="shared" si="36"/>
        <v>0</v>
      </c>
      <c r="M76" s="341">
        <f t="shared" si="37"/>
        <v>0</v>
      </c>
      <c r="N76" s="183"/>
    </row>
    <row r="77" spans="1:14" x14ac:dyDescent="0.15">
      <c r="A77" s="183"/>
      <c r="B77" s="183"/>
      <c r="C77" s="183" t="s">
        <v>295</v>
      </c>
      <c r="D77" s="183"/>
      <c r="E77" s="270">
        <f t="shared" si="34"/>
        <v>0</v>
      </c>
      <c r="F77" s="270">
        <f t="shared" si="34"/>
        <v>0</v>
      </c>
      <c r="G77" s="270">
        <f t="shared" si="34"/>
        <v>0</v>
      </c>
      <c r="H77" s="270">
        <f t="shared" si="34"/>
        <v>0</v>
      </c>
      <c r="I77" s="270">
        <f t="shared" si="34"/>
        <v>0</v>
      </c>
      <c r="J77" s="270">
        <f t="shared" si="34"/>
        <v>0</v>
      </c>
      <c r="K77" s="271">
        <f t="shared" si="35"/>
        <v>0</v>
      </c>
      <c r="L77" s="270">
        <f t="shared" si="36"/>
        <v>0</v>
      </c>
      <c r="M77" s="341">
        <f t="shared" si="37"/>
        <v>0</v>
      </c>
      <c r="N77" s="183"/>
    </row>
    <row r="78" spans="1:14" x14ac:dyDescent="0.15">
      <c r="A78" s="183"/>
      <c r="B78" s="183"/>
      <c r="C78" s="183" t="s">
        <v>69</v>
      </c>
      <c r="D78" s="183"/>
      <c r="E78" s="270">
        <f t="shared" si="34"/>
        <v>0</v>
      </c>
      <c r="F78" s="270">
        <f t="shared" si="34"/>
        <v>0</v>
      </c>
      <c r="G78" s="270">
        <f t="shared" si="34"/>
        <v>0</v>
      </c>
      <c r="H78" s="270">
        <f t="shared" si="34"/>
        <v>0</v>
      </c>
      <c r="I78" s="270">
        <f t="shared" si="34"/>
        <v>0</v>
      </c>
      <c r="J78" s="270">
        <f t="shared" si="34"/>
        <v>0</v>
      </c>
      <c r="K78" s="271">
        <f t="shared" si="35"/>
        <v>0</v>
      </c>
      <c r="L78" s="270">
        <f t="shared" si="36"/>
        <v>0</v>
      </c>
      <c r="M78" s="341">
        <f t="shared" si="37"/>
        <v>0</v>
      </c>
      <c r="N78" s="183"/>
    </row>
    <row r="79" spans="1:14" x14ac:dyDescent="0.15">
      <c r="A79" s="183"/>
      <c r="B79" s="183"/>
      <c r="C79" s="183" t="s">
        <v>256</v>
      </c>
      <c r="D79" s="183"/>
      <c r="E79" s="270">
        <f t="shared" si="34"/>
        <v>0</v>
      </c>
      <c r="F79" s="270">
        <f t="shared" si="34"/>
        <v>0</v>
      </c>
      <c r="G79" s="270">
        <f t="shared" si="34"/>
        <v>0</v>
      </c>
      <c r="H79" s="270">
        <f t="shared" si="34"/>
        <v>0</v>
      </c>
      <c r="I79" s="270">
        <f t="shared" si="34"/>
        <v>0</v>
      </c>
      <c r="J79" s="270">
        <f t="shared" si="34"/>
        <v>0</v>
      </c>
      <c r="K79" s="271">
        <f t="shared" si="35"/>
        <v>0</v>
      </c>
      <c r="L79" s="270">
        <f t="shared" si="36"/>
        <v>0</v>
      </c>
      <c r="M79" s="341">
        <f t="shared" si="37"/>
        <v>0</v>
      </c>
      <c r="N79" s="183"/>
    </row>
    <row r="80" spans="1:14" x14ac:dyDescent="0.15">
      <c r="A80" s="183"/>
      <c r="B80" s="219" t="s">
        <v>354</v>
      </c>
      <c r="C80" s="281"/>
      <c r="D80" s="281"/>
      <c r="E80" s="282">
        <f t="shared" ref="E80:J80" si="38">SUM(E72:E79)</f>
        <v>0</v>
      </c>
      <c r="F80" s="282">
        <f t="shared" si="38"/>
        <v>0</v>
      </c>
      <c r="G80" s="282">
        <f t="shared" si="38"/>
        <v>0</v>
      </c>
      <c r="H80" s="282">
        <f t="shared" si="38"/>
        <v>0</v>
      </c>
      <c r="I80" s="282">
        <f t="shared" si="38"/>
        <v>0</v>
      </c>
      <c r="J80" s="282">
        <f t="shared" si="38"/>
        <v>0</v>
      </c>
      <c r="K80" s="283">
        <f t="shared" si="35"/>
        <v>0</v>
      </c>
      <c r="L80" s="282">
        <f>SUM(L72:L79)</f>
        <v>0</v>
      </c>
      <c r="M80" s="343">
        <f t="shared" si="37"/>
        <v>0</v>
      </c>
      <c r="N80" s="183"/>
    </row>
    <row r="81" spans="1:14" ht="6" customHeight="1" x14ac:dyDescent="0.15">
      <c r="A81" s="183"/>
      <c r="B81" s="184"/>
      <c r="C81" s="184"/>
      <c r="D81" s="237"/>
      <c r="E81" s="238"/>
      <c r="F81" s="238"/>
      <c r="G81" s="238"/>
      <c r="H81" s="238"/>
      <c r="I81" s="238"/>
      <c r="J81" s="238"/>
      <c r="K81" s="240"/>
      <c r="L81" s="241"/>
      <c r="M81" s="347"/>
      <c r="N81" s="183"/>
    </row>
    <row r="82" spans="1:14" ht="14" thickBot="1" x14ac:dyDescent="0.2">
      <c r="A82" s="183"/>
      <c r="B82" s="184" t="s">
        <v>324</v>
      </c>
      <c r="C82" s="237"/>
      <c r="D82" s="237"/>
      <c r="E82" s="215">
        <f t="shared" ref="E82:M82" si="39">E58-E80</f>
        <v>0</v>
      </c>
      <c r="F82" s="215">
        <f t="shared" si="39"/>
        <v>0</v>
      </c>
      <c r="G82" s="215">
        <f t="shared" si="39"/>
        <v>0</v>
      </c>
      <c r="H82" s="215">
        <f t="shared" si="39"/>
        <v>0</v>
      </c>
      <c r="I82" s="215">
        <f t="shared" si="39"/>
        <v>0</v>
      </c>
      <c r="J82" s="215">
        <f t="shared" si="39"/>
        <v>0</v>
      </c>
      <c r="K82" s="284">
        <f t="shared" si="39"/>
        <v>0</v>
      </c>
      <c r="L82" s="215">
        <f t="shared" si="39"/>
        <v>0</v>
      </c>
      <c r="M82" s="284">
        <f t="shared" si="39"/>
        <v>0</v>
      </c>
      <c r="N82" s="183"/>
    </row>
    <row r="83" spans="1:14" ht="14" thickTop="1" x14ac:dyDescent="0.15">
      <c r="A83" s="183"/>
      <c r="B83" s="184" t="s">
        <v>325</v>
      </c>
      <c r="C83" s="237"/>
      <c r="D83" s="237"/>
      <c r="E83" s="285" t="str">
        <f t="shared" ref="E83:M83" si="40">IF(E58=0,"",E82/E58)</f>
        <v/>
      </c>
      <c r="F83" s="285" t="str">
        <f t="shared" si="40"/>
        <v/>
      </c>
      <c r="G83" s="285" t="str">
        <f t="shared" si="40"/>
        <v/>
      </c>
      <c r="H83" s="285" t="str">
        <f t="shared" si="40"/>
        <v/>
      </c>
      <c r="I83" s="285" t="str">
        <f t="shared" si="40"/>
        <v/>
      </c>
      <c r="J83" s="285" t="str">
        <f t="shared" si="40"/>
        <v/>
      </c>
      <c r="K83" s="286" t="str">
        <f t="shared" si="40"/>
        <v/>
      </c>
      <c r="L83" s="285" t="str">
        <f t="shared" si="40"/>
        <v/>
      </c>
      <c r="M83" s="286" t="str">
        <f t="shared" si="40"/>
        <v/>
      </c>
      <c r="N83" s="183"/>
    </row>
    <row r="84" spans="1:14" ht="6" customHeight="1" x14ac:dyDescent="0.15">
      <c r="A84" s="183"/>
      <c r="B84" s="263"/>
      <c r="C84" s="263"/>
      <c r="D84" s="204"/>
      <c r="E84" s="264"/>
      <c r="F84" s="264"/>
      <c r="G84" s="264"/>
      <c r="H84" s="264"/>
      <c r="I84" s="264"/>
      <c r="J84" s="264"/>
      <c r="K84" s="265"/>
      <c r="L84" s="266"/>
      <c r="M84" s="265"/>
      <c r="N84" s="183"/>
    </row>
    <row r="85" spans="1:14" x14ac:dyDescent="0.15">
      <c r="A85" s="183"/>
      <c r="B85" s="218" t="s">
        <v>326</v>
      </c>
      <c r="C85" s="274"/>
      <c r="D85" s="183"/>
      <c r="E85" s="287">
        <f t="shared" ref="E85:M85" si="41">E58</f>
        <v>0</v>
      </c>
      <c r="F85" s="287">
        <f t="shared" si="41"/>
        <v>0</v>
      </c>
      <c r="G85" s="287">
        <f t="shared" si="41"/>
        <v>0</v>
      </c>
      <c r="H85" s="287">
        <f t="shared" si="41"/>
        <v>0</v>
      </c>
      <c r="I85" s="287">
        <f t="shared" si="41"/>
        <v>0</v>
      </c>
      <c r="J85" s="287">
        <f t="shared" si="41"/>
        <v>0</v>
      </c>
      <c r="K85" s="288">
        <f t="shared" si="41"/>
        <v>0</v>
      </c>
      <c r="L85" s="287">
        <f t="shared" si="41"/>
        <v>0</v>
      </c>
      <c r="M85" s="288">
        <f t="shared" si="41"/>
        <v>0</v>
      </c>
      <c r="N85" s="183"/>
    </row>
    <row r="86" spans="1:14" x14ac:dyDescent="0.15">
      <c r="A86" s="183"/>
      <c r="B86" s="274"/>
      <c r="C86" s="218" t="s">
        <v>293</v>
      </c>
      <c r="D86" s="183"/>
      <c r="E86" s="289" t="str">
        <f t="shared" ref="E86:M86" si="42">E59</f>
        <v/>
      </c>
      <c r="F86" s="289" t="str">
        <f t="shared" si="42"/>
        <v/>
      </c>
      <c r="G86" s="289" t="str">
        <f t="shared" si="42"/>
        <v/>
      </c>
      <c r="H86" s="289" t="str">
        <f t="shared" si="42"/>
        <v/>
      </c>
      <c r="I86" s="289" t="str">
        <f t="shared" si="42"/>
        <v/>
      </c>
      <c r="J86" s="289" t="str">
        <f t="shared" si="42"/>
        <v/>
      </c>
      <c r="K86" s="290" t="str">
        <f t="shared" si="42"/>
        <v/>
      </c>
      <c r="L86" s="289" t="str">
        <f t="shared" si="42"/>
        <v/>
      </c>
      <c r="M86" s="290" t="str">
        <f t="shared" si="42"/>
        <v/>
      </c>
      <c r="N86" s="183"/>
    </row>
    <row r="87" spans="1:14" ht="6" customHeight="1" x14ac:dyDescent="0.15">
      <c r="A87" s="183"/>
      <c r="B87" s="184"/>
      <c r="C87" s="184"/>
      <c r="D87" s="183"/>
      <c r="E87" s="238"/>
      <c r="F87" s="238"/>
      <c r="G87" s="238"/>
      <c r="H87" s="238"/>
      <c r="I87" s="238"/>
      <c r="J87" s="238"/>
      <c r="K87" s="240"/>
      <c r="L87" s="241"/>
      <c r="M87" s="240"/>
      <c r="N87" s="183"/>
    </row>
    <row r="88" spans="1:14" x14ac:dyDescent="0.15">
      <c r="A88" s="183"/>
      <c r="B88" s="219" t="s">
        <v>357</v>
      </c>
      <c r="C88" s="281"/>
      <c r="D88" s="281"/>
      <c r="E88" s="291">
        <f t="shared" ref="E88:M88" si="43">E80</f>
        <v>0</v>
      </c>
      <c r="F88" s="291">
        <f t="shared" si="43"/>
        <v>0</v>
      </c>
      <c r="G88" s="291">
        <f t="shared" si="43"/>
        <v>0</v>
      </c>
      <c r="H88" s="291">
        <f t="shared" si="43"/>
        <v>0</v>
      </c>
      <c r="I88" s="291">
        <f t="shared" si="43"/>
        <v>0</v>
      </c>
      <c r="J88" s="291">
        <f t="shared" si="43"/>
        <v>0</v>
      </c>
      <c r="K88" s="292">
        <f t="shared" si="43"/>
        <v>0</v>
      </c>
      <c r="L88" s="291">
        <f t="shared" si="43"/>
        <v>0</v>
      </c>
      <c r="M88" s="292">
        <f t="shared" si="43"/>
        <v>0</v>
      </c>
      <c r="N88" s="183"/>
    </row>
    <row r="89" spans="1:14" ht="6" customHeight="1" x14ac:dyDescent="0.15">
      <c r="A89" s="183"/>
      <c r="B89" s="184"/>
      <c r="C89" s="184"/>
      <c r="D89" s="183"/>
      <c r="E89" s="238"/>
      <c r="F89" s="238"/>
      <c r="G89" s="238"/>
      <c r="H89" s="238"/>
      <c r="I89" s="238"/>
      <c r="J89" s="238"/>
      <c r="K89" s="240"/>
      <c r="L89" s="241"/>
      <c r="M89" s="240"/>
      <c r="N89" s="183"/>
    </row>
    <row r="90" spans="1:14" ht="14" thickBot="1" x14ac:dyDescent="0.2">
      <c r="A90" s="183"/>
      <c r="B90" s="184" t="s">
        <v>355</v>
      </c>
      <c r="C90" s="237"/>
      <c r="D90" s="237"/>
      <c r="E90" s="215">
        <f t="shared" ref="E90:M90" si="44">E82</f>
        <v>0</v>
      </c>
      <c r="F90" s="215">
        <f t="shared" si="44"/>
        <v>0</v>
      </c>
      <c r="G90" s="215">
        <f t="shared" si="44"/>
        <v>0</v>
      </c>
      <c r="H90" s="215">
        <f t="shared" si="44"/>
        <v>0</v>
      </c>
      <c r="I90" s="215">
        <f t="shared" si="44"/>
        <v>0</v>
      </c>
      <c r="J90" s="215">
        <f t="shared" si="44"/>
        <v>0</v>
      </c>
      <c r="K90" s="293">
        <f t="shared" si="44"/>
        <v>0</v>
      </c>
      <c r="L90" s="215">
        <f t="shared" si="44"/>
        <v>0</v>
      </c>
      <c r="M90" s="293">
        <f t="shared" si="44"/>
        <v>0</v>
      </c>
      <c r="N90" s="183"/>
    </row>
    <row r="91" spans="1:14" ht="14" thickTop="1" x14ac:dyDescent="0.15">
      <c r="A91" s="183"/>
      <c r="B91" s="184" t="s">
        <v>356</v>
      </c>
      <c r="C91" s="237"/>
      <c r="D91" s="237"/>
      <c r="E91" s="285" t="str">
        <f t="shared" ref="E91:M91" si="45">IF(E85=0,"",E90/E85)</f>
        <v/>
      </c>
      <c r="F91" s="285" t="str">
        <f t="shared" si="45"/>
        <v/>
      </c>
      <c r="G91" s="285" t="str">
        <f t="shared" si="45"/>
        <v/>
      </c>
      <c r="H91" s="285" t="str">
        <f t="shared" si="45"/>
        <v/>
      </c>
      <c r="I91" s="285" t="str">
        <f t="shared" si="45"/>
        <v/>
      </c>
      <c r="J91" s="285" t="str">
        <f t="shared" si="45"/>
        <v/>
      </c>
      <c r="K91" s="286" t="str">
        <f t="shared" si="45"/>
        <v/>
      </c>
      <c r="L91" s="285" t="str">
        <f t="shared" si="45"/>
        <v/>
      </c>
      <c r="M91" s="286" t="str">
        <f t="shared" si="45"/>
        <v/>
      </c>
      <c r="N91" s="183"/>
    </row>
  </sheetData>
  <mergeCells count="1">
    <mergeCell ref="E3:M3"/>
  </mergeCells>
  <phoneticPr fontId="2" type="noConversion"/>
  <dataValidations disablePrompts="1" count="1">
    <dataValidation type="decimal" allowBlank="1" showInputMessage="1" showErrorMessage="1" error="Permitted discounts 0% to 30%." prompt="Permitted discounts 0% to 30%." sqref="L56 E20:J20 L20 E56:J56">
      <formula1>0</formula1>
      <formula2>0.3</formula2>
    </dataValidation>
  </dataValidations>
  <pageMargins left="0.75" right="0.75" top="0.5" bottom="0.5" header="0.5" footer="0.5"/>
  <pageSetup paperSize="3" scale="92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pageSetUpPr fitToPage="1"/>
  </sheetPr>
  <dimension ref="A1:N102"/>
  <sheetViews>
    <sheetView workbookViewId="0">
      <pane xSplit="4" ySplit="4" topLeftCell="E5" activePane="bottomRight" state="frozen"/>
      <selection activeCell="M31" sqref="M31"/>
      <selection pane="topRight" activeCell="M31" sqref="M31"/>
      <selection pane="bottomLeft" activeCell="M31" sqref="M31"/>
      <selection pane="bottomRight" activeCell="L15" sqref="L15"/>
    </sheetView>
  </sheetViews>
  <sheetFormatPr baseColWidth="10" defaultColWidth="0" defaultRowHeight="13" x14ac:dyDescent="0.15"/>
  <cols>
    <col min="1" max="3" customWidth="true" style="109" width="1.6640625" collapsed="true"/>
    <col min="4" max="4" customWidth="true" style="109" width="38.6640625" collapsed="true"/>
    <col min="5" max="13" customWidth="true" style="109" width="9.6640625" collapsed="true"/>
    <col min="14" max="14" customWidth="true" style="109" width="1.6640625" collapsed="true"/>
    <col min="15" max="16384" hidden="true" style="109" width="0.0" collapsed="true"/>
  </cols>
  <sheetData>
    <row r="1" spans="1:14" ht="16" x14ac:dyDescent="0.2">
      <c r="A1" s="183"/>
      <c r="B1" s="233" t="str">
        <f>'Input Specification and Output'!D3</f>
        <v>Minneapolis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</row>
    <row r="2" spans="1:14" ht="14" thickBot="1" x14ac:dyDescent="0.2">
      <c r="A2" s="183"/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</row>
    <row r="3" spans="1:14" ht="17" thickBot="1" x14ac:dyDescent="0.25">
      <c r="A3" s="183"/>
      <c r="B3" s="184"/>
      <c r="C3" s="184"/>
      <c r="D3" s="183"/>
      <c r="E3" s="569" t="s">
        <v>297</v>
      </c>
      <c r="F3" s="570"/>
      <c r="G3" s="570"/>
      <c r="H3" s="570"/>
      <c r="I3" s="570"/>
      <c r="J3" s="570"/>
      <c r="K3" s="570"/>
      <c r="L3" s="570"/>
      <c r="M3" s="571"/>
      <c r="N3" s="183"/>
    </row>
    <row r="4" spans="1:14" x14ac:dyDescent="0.15">
      <c r="A4" s="183"/>
      <c r="B4" s="183"/>
      <c r="C4" s="183"/>
      <c r="D4" s="183"/>
      <c r="E4" s="234" t="s">
        <v>86</v>
      </c>
      <c r="F4" s="234" t="s">
        <v>87</v>
      </c>
      <c r="G4" s="234" t="s">
        <v>88</v>
      </c>
      <c r="H4" s="234" t="s">
        <v>89</v>
      </c>
      <c r="I4" s="234" t="s">
        <v>90</v>
      </c>
      <c r="J4" s="234" t="s">
        <v>91</v>
      </c>
      <c r="K4" s="235" t="s">
        <v>80</v>
      </c>
      <c r="L4" s="236" t="s">
        <v>257</v>
      </c>
      <c r="M4" s="235" t="s">
        <v>98</v>
      </c>
      <c r="N4" s="183"/>
    </row>
    <row r="5" spans="1:14" x14ac:dyDescent="0.15">
      <c r="A5" s="183"/>
      <c r="B5" s="184" t="s">
        <v>296</v>
      </c>
      <c r="C5" s="184"/>
      <c r="D5" s="237"/>
      <c r="E5" s="238">
        <f>'Build Industry Std Job Quote'!E13</f>
        <v>0</v>
      </c>
      <c r="F5" s="238">
        <f>'Build Industry Std Job Quote'!E14</f>
        <v>0</v>
      </c>
      <c r="G5" s="238">
        <f>'Build Industry Std Job Quote'!E15</f>
        <v>0</v>
      </c>
      <c r="H5" s="238">
        <f>'Build Industry Std Job Quote'!E16</f>
        <v>0</v>
      </c>
      <c r="I5" s="238">
        <f>'Build Industry Std Job Quote'!E17</f>
        <v>0</v>
      </c>
      <c r="J5" s="238">
        <f>'Build Industry Std Job Quote'!E18</f>
        <v>0</v>
      </c>
      <c r="K5" s="239">
        <f>SUM(E5:J5)</f>
        <v>0</v>
      </c>
      <c r="L5" s="238">
        <f>'Build Industry Std Job Quote'!E34</f>
        <v>0</v>
      </c>
      <c r="M5" s="240">
        <f>SUM(K5:L5)</f>
        <v>0</v>
      </c>
      <c r="N5" s="183"/>
    </row>
    <row r="6" spans="1:14" x14ac:dyDescent="0.15">
      <c r="A6" s="183"/>
      <c r="B6" s="184" t="s">
        <v>318</v>
      </c>
      <c r="C6" s="184"/>
      <c r="D6" s="237"/>
      <c r="E6" s="238">
        <f t="shared" ref="E6:J6" si="0">E7*0.24</f>
        <v>0</v>
      </c>
      <c r="F6" s="238">
        <f t="shared" si="0"/>
        <v>0</v>
      </c>
      <c r="G6" s="238">
        <f t="shared" si="0"/>
        <v>0</v>
      </c>
      <c r="H6" s="238">
        <f t="shared" si="0"/>
        <v>0</v>
      </c>
      <c r="I6" s="238">
        <f t="shared" si="0"/>
        <v>0</v>
      </c>
      <c r="J6" s="238">
        <f t="shared" si="0"/>
        <v>0</v>
      </c>
      <c r="K6" s="239">
        <f>SUM(E6:J6)</f>
        <v>0</v>
      </c>
      <c r="L6" s="238">
        <f>L7*0.24</f>
        <v>0</v>
      </c>
      <c r="M6" s="240">
        <f>SUM(K6:L6)</f>
        <v>0</v>
      </c>
      <c r="N6" s="183"/>
    </row>
    <row r="7" spans="1:14" x14ac:dyDescent="0.15">
      <c r="A7" s="183"/>
      <c r="B7" s="184" t="s">
        <v>317</v>
      </c>
      <c r="C7" s="184"/>
      <c r="D7" s="237"/>
      <c r="E7" s="238">
        <f>'Build Industry Std Job Quote'!F13</f>
        <v>0</v>
      </c>
      <c r="F7" s="238">
        <f>'Build Industry Std Job Quote'!F14</f>
        <v>0</v>
      </c>
      <c r="G7" s="238">
        <f>'Build Industry Std Job Quote'!F15</f>
        <v>0</v>
      </c>
      <c r="H7" s="238">
        <f>'Build Industry Std Job Quote'!F16</f>
        <v>0</v>
      </c>
      <c r="I7" s="238">
        <f>'Build Industry Std Job Quote'!F17</f>
        <v>0</v>
      </c>
      <c r="J7" s="238">
        <f>'Build Industry Std Job Quote'!F18</f>
        <v>0</v>
      </c>
      <c r="K7" s="239">
        <f>SUM(E7:J7)</f>
        <v>0</v>
      </c>
      <c r="L7" s="238">
        <f>'Build Industry Std Job Quote'!F34</f>
        <v>0</v>
      </c>
      <c r="M7" s="240">
        <f>SUM(K7:L7)</f>
        <v>0</v>
      </c>
      <c r="N7" s="183"/>
    </row>
    <row r="8" spans="1:14" ht="6" customHeight="1" x14ac:dyDescent="0.15">
      <c r="A8" s="183"/>
      <c r="B8" s="184"/>
      <c r="C8" s="184"/>
      <c r="D8" s="183"/>
      <c r="E8" s="238"/>
      <c r="F8" s="238"/>
      <c r="G8" s="238"/>
      <c r="H8" s="238"/>
      <c r="I8" s="238"/>
      <c r="J8" s="238"/>
      <c r="K8" s="240"/>
      <c r="L8" s="241"/>
      <c r="M8" s="240"/>
      <c r="N8" s="183"/>
    </row>
    <row r="9" spans="1:14" x14ac:dyDescent="0.15">
      <c r="A9" s="183"/>
      <c r="B9" s="184" t="s">
        <v>361</v>
      </c>
      <c r="C9" s="184"/>
      <c r="D9" s="183"/>
      <c r="E9" s="183"/>
      <c r="F9" s="183"/>
      <c r="G9" s="183"/>
      <c r="H9" s="183"/>
      <c r="I9" s="183"/>
      <c r="J9" s="183"/>
      <c r="K9" s="242"/>
      <c r="L9" s="184"/>
      <c r="M9" s="242"/>
      <c r="N9" s="183"/>
    </row>
    <row r="10" spans="1:14" x14ac:dyDescent="0.15">
      <c r="A10" s="183"/>
      <c r="B10" s="183"/>
      <c r="C10" s="183" t="s">
        <v>294</v>
      </c>
      <c r="D10" s="183"/>
      <c r="E10" s="243">
        <f>'Build Industry Std Job Quote'!G13</f>
        <v>0</v>
      </c>
      <c r="F10" s="243">
        <f>'Build Industry Std Job Quote'!G14</f>
        <v>0</v>
      </c>
      <c r="G10" s="243">
        <f>'Build Industry Std Job Quote'!G15</f>
        <v>0</v>
      </c>
      <c r="H10" s="243">
        <f>'Build Industry Std Job Quote'!G16</f>
        <v>0</v>
      </c>
      <c r="I10" s="243">
        <f>'Build Industry Std Job Quote'!G17</f>
        <v>0</v>
      </c>
      <c r="J10" s="243">
        <f>'Build Industry Std Job Quote'!G18</f>
        <v>0</v>
      </c>
      <c r="K10" s="244">
        <f t="shared" ref="K10:K31" si="1">SUM(E10:J10)</f>
        <v>0</v>
      </c>
      <c r="L10" s="245">
        <f>'Build Industry Std Job Quote'!G34</f>
        <v>0</v>
      </c>
      <c r="M10" s="379">
        <f t="shared" ref="M10:M18" si="2">SUM(K10:L10)</f>
        <v>0</v>
      </c>
      <c r="N10" s="183"/>
    </row>
    <row r="11" spans="1:14" x14ac:dyDescent="0.15">
      <c r="A11" s="183"/>
      <c r="B11" s="183"/>
      <c r="C11" s="183" t="s">
        <v>65</v>
      </c>
      <c r="D11" s="183"/>
      <c r="E11" s="243">
        <f>'Build Industry Std Job Quote'!H13</f>
        <v>0</v>
      </c>
      <c r="F11" s="243">
        <f>'Build Industry Std Job Quote'!H14</f>
        <v>0</v>
      </c>
      <c r="G11" s="243">
        <f>'Build Industry Std Job Quote'!H15</f>
        <v>0</v>
      </c>
      <c r="H11" s="243">
        <f>'Build Industry Std Job Quote'!H16</f>
        <v>0</v>
      </c>
      <c r="I11" s="243">
        <f>'Build Industry Std Job Quote'!H17</f>
        <v>0</v>
      </c>
      <c r="J11" s="243">
        <f>'Build Industry Std Job Quote'!H18</f>
        <v>0</v>
      </c>
      <c r="K11" s="244">
        <f t="shared" si="1"/>
        <v>0</v>
      </c>
      <c r="L11" s="245">
        <f>'Build Industry Std Job Quote'!H34</f>
        <v>0</v>
      </c>
      <c r="M11" s="379">
        <f t="shared" si="2"/>
        <v>0</v>
      </c>
      <c r="N11" s="183"/>
    </row>
    <row r="12" spans="1:14" x14ac:dyDescent="0.15">
      <c r="A12" s="183"/>
      <c r="B12" s="183"/>
      <c r="C12" s="247" t="s">
        <v>84</v>
      </c>
      <c r="D12" s="183"/>
      <c r="E12" s="248">
        <f>'Build Industry Std Job Quote'!L13</f>
        <v>0</v>
      </c>
      <c r="F12" s="248">
        <f>'Build Industry Std Job Quote'!L14</f>
        <v>0</v>
      </c>
      <c r="G12" s="248">
        <f>'Build Industry Std Job Quote'!L15</f>
        <v>0</v>
      </c>
      <c r="H12" s="248">
        <f>'Build Industry Std Job Quote'!L16</f>
        <v>0</v>
      </c>
      <c r="I12" s="248">
        <f>'Build Industry Std Job Quote'!L17</f>
        <v>0</v>
      </c>
      <c r="J12" s="248">
        <f>'Build Industry Std Job Quote'!L18</f>
        <v>0</v>
      </c>
      <c r="K12" s="249">
        <f t="shared" si="1"/>
        <v>0</v>
      </c>
      <c r="L12" s="248">
        <f>'Build Industry Std Job Quote'!L34</f>
        <v>0</v>
      </c>
      <c r="M12" s="379">
        <f t="shared" si="2"/>
        <v>0</v>
      </c>
      <c r="N12" s="183"/>
    </row>
    <row r="13" spans="1:14" x14ac:dyDescent="0.15">
      <c r="A13" s="183"/>
      <c r="B13" s="183"/>
      <c r="C13" s="247" t="s">
        <v>143</v>
      </c>
      <c r="D13" s="183"/>
      <c r="E13" s="248">
        <f>'Build Industry Std Job Quote'!K13</f>
        <v>0</v>
      </c>
      <c r="F13" s="248">
        <f>'Build Industry Std Job Quote'!K14</f>
        <v>0</v>
      </c>
      <c r="G13" s="248">
        <f>'Build Industry Std Job Quote'!K15</f>
        <v>0</v>
      </c>
      <c r="H13" s="248">
        <f>'Build Industry Std Job Quote'!K16</f>
        <v>0</v>
      </c>
      <c r="I13" s="248">
        <f>'Build Industry Std Job Quote'!K17</f>
        <v>0</v>
      </c>
      <c r="J13" s="248">
        <f>'Build Industry Std Job Quote'!J18</f>
        <v>0</v>
      </c>
      <c r="K13" s="249">
        <f t="shared" si="1"/>
        <v>0</v>
      </c>
      <c r="L13" s="248">
        <f>'Build Industry Std Job Quote'!K34</f>
        <v>0</v>
      </c>
      <c r="M13" s="379">
        <f t="shared" si="2"/>
        <v>0</v>
      </c>
      <c r="N13" s="183"/>
    </row>
    <row r="14" spans="1:14" x14ac:dyDescent="0.15">
      <c r="A14" s="183"/>
      <c r="B14" s="183"/>
      <c r="C14" s="183" t="s">
        <v>206</v>
      </c>
      <c r="D14" s="183"/>
      <c r="E14" s="243">
        <f>'Build Industry Std Job Quote'!M13</f>
        <v>0</v>
      </c>
      <c r="F14" s="243">
        <f>'Build Industry Std Job Quote'!M14</f>
        <v>0</v>
      </c>
      <c r="G14" s="243">
        <f>'Build Industry Std Job Quote'!M15</f>
        <v>0</v>
      </c>
      <c r="H14" s="243">
        <f>'Build Industry Std Job Quote'!M16</f>
        <v>0</v>
      </c>
      <c r="I14" s="243">
        <f>'Build Industry Std Job Quote'!M17</f>
        <v>0</v>
      </c>
      <c r="J14" s="243">
        <f>'Build Industry Std Job Quote'!M18</f>
        <v>0</v>
      </c>
      <c r="K14" s="244">
        <f t="shared" si="1"/>
        <v>0</v>
      </c>
      <c r="L14" s="245">
        <f>'Build Industry Std Job Quote'!M34</f>
        <v>0</v>
      </c>
      <c r="M14" s="379">
        <f t="shared" si="2"/>
        <v>0</v>
      </c>
      <c r="N14" s="183"/>
    </row>
    <row r="15" spans="1:14" x14ac:dyDescent="0.15">
      <c r="A15" s="183"/>
      <c r="B15" s="183"/>
      <c r="C15" s="183" t="s">
        <v>295</v>
      </c>
      <c r="D15" s="183"/>
      <c r="E15" s="243">
        <f>'Build Industry Std Job Quote'!P13</f>
        <v>0</v>
      </c>
      <c r="F15" s="243">
        <f>'Build Industry Std Job Quote'!P14</f>
        <v>0</v>
      </c>
      <c r="G15" s="243">
        <f>'Build Industry Std Job Quote'!P15</f>
        <v>0</v>
      </c>
      <c r="H15" s="243">
        <f>'Build Industry Std Job Quote'!P16</f>
        <v>0</v>
      </c>
      <c r="I15" s="243">
        <f>'Build Industry Std Job Quote'!P17</f>
        <v>0</v>
      </c>
      <c r="J15" s="243">
        <f>'Build Industry Std Job Quote'!P18</f>
        <v>0</v>
      </c>
      <c r="K15" s="244">
        <f t="shared" si="1"/>
        <v>0</v>
      </c>
      <c r="L15" s="245">
        <f>'Build Industry Std Job Quote'!P34</f>
        <v>0</v>
      </c>
      <c r="M15" s="379">
        <f t="shared" si="2"/>
        <v>0</v>
      </c>
      <c r="N15" s="183"/>
    </row>
    <row r="16" spans="1:14" x14ac:dyDescent="0.15">
      <c r="A16" s="183"/>
      <c r="B16" s="183"/>
      <c r="C16" s="183" t="s">
        <v>69</v>
      </c>
      <c r="D16" s="183"/>
      <c r="E16" s="243">
        <f>'Build Industry Std Job Quote'!S13</f>
        <v>0</v>
      </c>
      <c r="F16" s="243">
        <f>'Build Industry Std Job Quote'!S14</f>
        <v>0</v>
      </c>
      <c r="G16" s="243">
        <f>'Build Industry Std Job Quote'!S15</f>
        <v>0</v>
      </c>
      <c r="H16" s="243">
        <f>'Build Industry Std Job Quote'!S16</f>
        <v>0</v>
      </c>
      <c r="I16" s="243">
        <f>'Build Industry Std Job Quote'!S17</f>
        <v>0</v>
      </c>
      <c r="J16" s="243">
        <f>'Build Industry Std Job Quote'!S18</f>
        <v>0</v>
      </c>
      <c r="K16" s="250">
        <f t="shared" si="1"/>
        <v>0</v>
      </c>
      <c r="L16" s="245">
        <f>'Build Industry Std Job Quote'!S34</f>
        <v>0</v>
      </c>
      <c r="M16" s="380">
        <f t="shared" si="2"/>
        <v>0</v>
      </c>
      <c r="N16" s="183"/>
    </row>
    <row r="17" spans="1:14" x14ac:dyDescent="0.15">
      <c r="A17" s="183"/>
      <c r="B17" s="183"/>
      <c r="C17" s="183" t="s">
        <v>256</v>
      </c>
      <c r="D17" s="183"/>
      <c r="E17" s="252">
        <f>'Build Industry Std Job Quote'!T13</f>
        <v>0</v>
      </c>
      <c r="F17" s="252">
        <f>'Build Industry Std Job Quote'!T14</f>
        <v>0</v>
      </c>
      <c r="G17" s="252">
        <f>'Build Industry Std Job Quote'!T15</f>
        <v>0</v>
      </c>
      <c r="H17" s="252">
        <f>'Build Industry Std Job Quote'!T16</f>
        <v>0</v>
      </c>
      <c r="I17" s="252">
        <f>'Build Industry Std Job Quote'!T17</f>
        <v>0</v>
      </c>
      <c r="J17" s="252">
        <f>'Build Industry Std Job Quote'!T18</f>
        <v>0</v>
      </c>
      <c r="K17" s="253">
        <f t="shared" si="1"/>
        <v>0</v>
      </c>
      <c r="L17" s="254">
        <f>'Build Industry Std Job Quote'!T34</f>
        <v>0</v>
      </c>
      <c r="M17" s="380">
        <f t="shared" si="2"/>
        <v>0</v>
      </c>
      <c r="N17" s="183"/>
    </row>
    <row r="18" spans="1:14" ht="14" thickBot="1" x14ac:dyDescent="0.2">
      <c r="A18" s="183"/>
      <c r="B18" s="183"/>
      <c r="C18" s="184" t="s">
        <v>319</v>
      </c>
      <c r="D18" s="237"/>
      <c r="E18" s="256">
        <f t="shared" ref="E18:J18" si="3">SUM(E10:E17)</f>
        <v>0</v>
      </c>
      <c r="F18" s="256">
        <f t="shared" si="3"/>
        <v>0</v>
      </c>
      <c r="G18" s="256">
        <f t="shared" si="3"/>
        <v>0</v>
      </c>
      <c r="H18" s="256">
        <f t="shared" si="3"/>
        <v>0</v>
      </c>
      <c r="I18" s="256">
        <f t="shared" si="3"/>
        <v>0</v>
      </c>
      <c r="J18" s="256">
        <f t="shared" si="3"/>
        <v>0</v>
      </c>
      <c r="K18" s="257">
        <f t="shared" si="1"/>
        <v>0</v>
      </c>
      <c r="L18" s="256">
        <f>SUM(L10:L17)</f>
        <v>0</v>
      </c>
      <c r="M18" s="380">
        <f t="shared" si="2"/>
        <v>0</v>
      </c>
      <c r="N18" s="183"/>
    </row>
    <row r="19" spans="1:14" ht="6" customHeight="1" thickTop="1" x14ac:dyDescent="0.15">
      <c r="A19" s="183"/>
      <c r="B19" s="184"/>
      <c r="C19" s="184"/>
      <c r="D19" s="183"/>
      <c r="E19" s="238"/>
      <c r="F19" s="238"/>
      <c r="G19" s="238"/>
      <c r="H19" s="238"/>
      <c r="I19" s="238"/>
      <c r="J19" s="238"/>
      <c r="K19" s="240"/>
      <c r="L19" s="241"/>
      <c r="M19" s="240"/>
      <c r="N19" s="183"/>
    </row>
    <row r="20" spans="1:14" x14ac:dyDescent="0.15">
      <c r="A20" s="183"/>
      <c r="B20" s="184" t="s">
        <v>298</v>
      </c>
      <c r="C20" s="183"/>
      <c r="D20" s="183"/>
      <c r="E20" s="258">
        <f>'Input Specification and Output'!E85</f>
        <v>0</v>
      </c>
      <c r="F20" s="258">
        <f>'Input Specification and Output'!F85</f>
        <v>0</v>
      </c>
      <c r="G20" s="258">
        <f>'Input Specification and Output'!G85</f>
        <v>0</v>
      </c>
      <c r="H20" s="258">
        <f>'Input Specification and Output'!H85</f>
        <v>0</v>
      </c>
      <c r="I20" s="258">
        <f>'Input Specification and Output'!I85</f>
        <v>0</v>
      </c>
      <c r="J20" s="258">
        <f>'Input Specification and Output'!J85</f>
        <v>0</v>
      </c>
      <c r="K20" s="259" t="str">
        <f>IF((K18-SUM(K12:K13))=0,"",(K33/(K18-SUM(K12:K13))))</f>
        <v/>
      </c>
      <c r="L20" s="258">
        <f>'Input Specification and Output'!L85</f>
        <v>0</v>
      </c>
      <c r="M20" s="259" t="str">
        <f>IF((M18-SUM(M12:M13))=0,"",(M33/(M18-SUM(M12:M13))))</f>
        <v/>
      </c>
      <c r="N20" s="183"/>
    </row>
    <row r="21" spans="1:14" ht="6" customHeight="1" x14ac:dyDescent="0.15">
      <c r="A21" s="183"/>
      <c r="B21" s="184"/>
      <c r="C21" s="184"/>
      <c r="D21" s="183"/>
      <c r="E21" s="238"/>
      <c r="F21" s="238"/>
      <c r="G21" s="238"/>
      <c r="H21" s="238"/>
      <c r="I21" s="238"/>
      <c r="J21" s="238"/>
      <c r="K21" s="240"/>
      <c r="L21" s="241"/>
      <c r="M21" s="240"/>
      <c r="N21" s="183"/>
    </row>
    <row r="22" spans="1:14" x14ac:dyDescent="0.15">
      <c r="A22" s="183"/>
      <c r="B22" s="184" t="s">
        <v>362</v>
      </c>
      <c r="C22" s="184"/>
      <c r="D22" s="183"/>
      <c r="E22" s="260"/>
      <c r="F22" s="260"/>
      <c r="G22" s="260"/>
      <c r="H22" s="260"/>
      <c r="I22" s="260"/>
      <c r="J22" s="260"/>
      <c r="K22" s="261"/>
      <c r="L22" s="260"/>
      <c r="M22" s="261"/>
      <c r="N22" s="183"/>
    </row>
    <row r="23" spans="1:14" x14ac:dyDescent="0.15">
      <c r="A23" s="183"/>
      <c r="B23" s="183"/>
      <c r="C23" s="183" t="s">
        <v>294</v>
      </c>
      <c r="D23" s="183"/>
      <c r="E23" s="243">
        <f t="shared" ref="E23:J24" si="4">(1-E$20)*E10</f>
        <v>0</v>
      </c>
      <c r="F23" s="243">
        <f t="shared" si="4"/>
        <v>0</v>
      </c>
      <c r="G23" s="243">
        <f t="shared" si="4"/>
        <v>0</v>
      </c>
      <c r="H23" s="243">
        <f t="shared" si="4"/>
        <v>0</v>
      </c>
      <c r="I23" s="243">
        <f t="shared" si="4"/>
        <v>0</v>
      </c>
      <c r="J23" s="243">
        <f t="shared" si="4"/>
        <v>0</v>
      </c>
      <c r="K23" s="244">
        <f t="shared" si="1"/>
        <v>0</v>
      </c>
      <c r="L23" s="243">
        <f>(1-L$20)*L10</f>
        <v>0</v>
      </c>
      <c r="M23" s="379">
        <f t="shared" ref="M23:M31" si="5">SUM(K23:L23)</f>
        <v>0</v>
      </c>
      <c r="N23" s="183"/>
    </row>
    <row r="24" spans="1:14" x14ac:dyDescent="0.15">
      <c r="A24" s="183"/>
      <c r="B24" s="183"/>
      <c r="C24" s="183" t="s">
        <v>65</v>
      </c>
      <c r="D24" s="183"/>
      <c r="E24" s="243">
        <f t="shared" si="4"/>
        <v>0</v>
      </c>
      <c r="F24" s="243">
        <f t="shared" si="4"/>
        <v>0</v>
      </c>
      <c r="G24" s="243">
        <f t="shared" si="4"/>
        <v>0</v>
      </c>
      <c r="H24" s="243">
        <f t="shared" si="4"/>
        <v>0</v>
      </c>
      <c r="I24" s="243">
        <f t="shared" si="4"/>
        <v>0</v>
      </c>
      <c r="J24" s="243">
        <f t="shared" si="4"/>
        <v>0</v>
      </c>
      <c r="K24" s="244">
        <f t="shared" si="1"/>
        <v>0</v>
      </c>
      <c r="L24" s="243">
        <f>(1-L$20)*L11</f>
        <v>0</v>
      </c>
      <c r="M24" s="379">
        <f t="shared" si="5"/>
        <v>0</v>
      </c>
      <c r="N24" s="183"/>
    </row>
    <row r="25" spans="1:14" x14ac:dyDescent="0.15">
      <c r="A25" s="183"/>
      <c r="B25" s="183"/>
      <c r="C25" s="247" t="s">
        <v>84</v>
      </c>
      <c r="D25" s="183"/>
      <c r="E25" s="248">
        <f t="shared" ref="E25:J26" si="6">E12</f>
        <v>0</v>
      </c>
      <c r="F25" s="248">
        <f t="shared" si="6"/>
        <v>0</v>
      </c>
      <c r="G25" s="248">
        <f t="shared" si="6"/>
        <v>0</v>
      </c>
      <c r="H25" s="248">
        <f t="shared" si="6"/>
        <v>0</v>
      </c>
      <c r="I25" s="248">
        <f t="shared" si="6"/>
        <v>0</v>
      </c>
      <c r="J25" s="248">
        <f t="shared" si="6"/>
        <v>0</v>
      </c>
      <c r="K25" s="249">
        <f t="shared" si="1"/>
        <v>0</v>
      </c>
      <c r="L25" s="248">
        <f>L12</f>
        <v>0</v>
      </c>
      <c r="M25" s="379">
        <f t="shared" si="5"/>
        <v>0</v>
      </c>
      <c r="N25" s="183"/>
    </row>
    <row r="26" spans="1:14" x14ac:dyDescent="0.15">
      <c r="A26" s="183"/>
      <c r="B26" s="183"/>
      <c r="C26" s="247" t="s">
        <v>143</v>
      </c>
      <c r="D26" s="183"/>
      <c r="E26" s="248">
        <f t="shared" si="6"/>
        <v>0</v>
      </c>
      <c r="F26" s="248">
        <f t="shared" si="6"/>
        <v>0</v>
      </c>
      <c r="G26" s="248">
        <f t="shared" si="6"/>
        <v>0</v>
      </c>
      <c r="H26" s="248">
        <f t="shared" si="6"/>
        <v>0</v>
      </c>
      <c r="I26" s="248">
        <f t="shared" si="6"/>
        <v>0</v>
      </c>
      <c r="J26" s="248">
        <f t="shared" si="6"/>
        <v>0</v>
      </c>
      <c r="K26" s="249">
        <f t="shared" si="1"/>
        <v>0</v>
      </c>
      <c r="L26" s="248">
        <f>L13</f>
        <v>0</v>
      </c>
      <c r="M26" s="379">
        <f t="shared" si="5"/>
        <v>0</v>
      </c>
      <c r="N26" s="183"/>
    </row>
    <row r="27" spans="1:14" x14ac:dyDescent="0.15">
      <c r="A27" s="183"/>
      <c r="B27" s="183"/>
      <c r="C27" s="183" t="s">
        <v>206</v>
      </c>
      <c r="D27" s="183"/>
      <c r="E27" s="243">
        <f t="shared" ref="E27:J30" si="7">(1-E$20)*E14</f>
        <v>0</v>
      </c>
      <c r="F27" s="243">
        <f t="shared" si="7"/>
        <v>0</v>
      </c>
      <c r="G27" s="243">
        <f t="shared" si="7"/>
        <v>0</v>
      </c>
      <c r="H27" s="243">
        <f t="shared" si="7"/>
        <v>0</v>
      </c>
      <c r="I27" s="243">
        <f t="shared" si="7"/>
        <v>0</v>
      </c>
      <c r="J27" s="243">
        <f t="shared" si="7"/>
        <v>0</v>
      </c>
      <c r="K27" s="244">
        <f t="shared" si="1"/>
        <v>0</v>
      </c>
      <c r="L27" s="243">
        <f>(1-L$20)*L14</f>
        <v>0</v>
      </c>
      <c r="M27" s="379">
        <f t="shared" si="5"/>
        <v>0</v>
      </c>
      <c r="N27" s="183"/>
    </row>
    <row r="28" spans="1:14" x14ac:dyDescent="0.15">
      <c r="A28" s="183"/>
      <c r="B28" s="183"/>
      <c r="C28" s="183" t="s">
        <v>295</v>
      </c>
      <c r="D28" s="183"/>
      <c r="E28" s="243">
        <f t="shared" si="7"/>
        <v>0</v>
      </c>
      <c r="F28" s="243">
        <f t="shared" si="7"/>
        <v>0</v>
      </c>
      <c r="G28" s="243">
        <f t="shared" si="7"/>
        <v>0</v>
      </c>
      <c r="H28" s="243">
        <f t="shared" si="7"/>
        <v>0</v>
      </c>
      <c r="I28" s="243">
        <f t="shared" si="7"/>
        <v>0</v>
      </c>
      <c r="J28" s="243">
        <f t="shared" si="7"/>
        <v>0</v>
      </c>
      <c r="K28" s="244">
        <f t="shared" si="1"/>
        <v>0</v>
      </c>
      <c r="L28" s="243">
        <f>(1-L$20)*L15</f>
        <v>0</v>
      </c>
      <c r="M28" s="379">
        <f t="shared" si="5"/>
        <v>0</v>
      </c>
      <c r="N28" s="183"/>
    </row>
    <row r="29" spans="1:14" x14ac:dyDescent="0.15">
      <c r="A29" s="183"/>
      <c r="B29" s="183"/>
      <c r="C29" s="183" t="s">
        <v>69</v>
      </c>
      <c r="D29" s="183"/>
      <c r="E29" s="243">
        <f t="shared" si="7"/>
        <v>0</v>
      </c>
      <c r="F29" s="243">
        <f t="shared" si="7"/>
        <v>0</v>
      </c>
      <c r="G29" s="243">
        <f t="shared" si="7"/>
        <v>0</v>
      </c>
      <c r="H29" s="243">
        <f t="shared" si="7"/>
        <v>0</v>
      </c>
      <c r="I29" s="243">
        <f t="shared" si="7"/>
        <v>0</v>
      </c>
      <c r="J29" s="243">
        <f t="shared" si="7"/>
        <v>0</v>
      </c>
      <c r="K29" s="250">
        <f t="shared" si="1"/>
        <v>0</v>
      </c>
      <c r="L29" s="243">
        <f>(1-L$20)*L16</f>
        <v>0</v>
      </c>
      <c r="M29" s="380">
        <f t="shared" si="5"/>
        <v>0</v>
      </c>
      <c r="N29" s="183"/>
    </row>
    <row r="30" spans="1:14" x14ac:dyDescent="0.15">
      <c r="A30" s="183"/>
      <c r="B30" s="183"/>
      <c r="C30" s="183" t="s">
        <v>256</v>
      </c>
      <c r="D30" s="183"/>
      <c r="E30" s="243">
        <f t="shared" si="7"/>
        <v>0</v>
      </c>
      <c r="F30" s="243">
        <f t="shared" si="7"/>
        <v>0</v>
      </c>
      <c r="G30" s="243">
        <f t="shared" si="7"/>
        <v>0</v>
      </c>
      <c r="H30" s="243">
        <f t="shared" si="7"/>
        <v>0</v>
      </c>
      <c r="I30" s="243">
        <f t="shared" si="7"/>
        <v>0</v>
      </c>
      <c r="J30" s="243">
        <f t="shared" si="7"/>
        <v>0</v>
      </c>
      <c r="K30" s="253">
        <f t="shared" si="1"/>
        <v>0</v>
      </c>
      <c r="L30" s="243">
        <f>(1-L$20)*L17</f>
        <v>0</v>
      </c>
      <c r="M30" s="380">
        <f t="shared" si="5"/>
        <v>0</v>
      </c>
      <c r="N30" s="183"/>
    </row>
    <row r="31" spans="1:14" ht="14" thickBot="1" x14ac:dyDescent="0.2">
      <c r="A31" s="183"/>
      <c r="B31" s="183"/>
      <c r="C31" s="184" t="s">
        <v>320</v>
      </c>
      <c r="D31" s="237"/>
      <c r="E31" s="256">
        <f t="shared" ref="E31:J31" si="8">SUM(E23:E30)</f>
        <v>0</v>
      </c>
      <c r="F31" s="256">
        <f t="shared" si="8"/>
        <v>0</v>
      </c>
      <c r="G31" s="256">
        <f t="shared" si="8"/>
        <v>0</v>
      </c>
      <c r="H31" s="256">
        <f t="shared" si="8"/>
        <v>0</v>
      </c>
      <c r="I31" s="256">
        <f t="shared" si="8"/>
        <v>0</v>
      </c>
      <c r="J31" s="256">
        <f t="shared" si="8"/>
        <v>0</v>
      </c>
      <c r="K31" s="257">
        <f t="shared" si="1"/>
        <v>0</v>
      </c>
      <c r="L31" s="256">
        <f>SUM(L23:L30)</f>
        <v>0</v>
      </c>
      <c r="M31" s="380">
        <f t="shared" si="5"/>
        <v>0</v>
      </c>
      <c r="N31" s="183"/>
    </row>
    <row r="32" spans="1:14" ht="6" customHeight="1" thickTop="1" x14ac:dyDescent="0.15">
      <c r="A32" s="183"/>
      <c r="B32" s="184"/>
      <c r="C32" s="184"/>
      <c r="D32" s="183"/>
      <c r="E32" s="238"/>
      <c r="F32" s="238"/>
      <c r="G32" s="238"/>
      <c r="H32" s="238"/>
      <c r="I32" s="238"/>
      <c r="J32" s="238"/>
      <c r="K32" s="240"/>
      <c r="L32" s="241"/>
      <c r="M32" s="240"/>
      <c r="N32" s="183"/>
    </row>
    <row r="33" spans="1:14" x14ac:dyDescent="0.15">
      <c r="A33" s="183"/>
      <c r="B33" s="183"/>
      <c r="C33" s="184" t="s">
        <v>363</v>
      </c>
      <c r="D33" s="237"/>
      <c r="E33" s="262">
        <f t="shared" ref="E33:M33" si="9">E18-E31</f>
        <v>0</v>
      </c>
      <c r="F33" s="262">
        <f t="shared" si="9"/>
        <v>0</v>
      </c>
      <c r="G33" s="262">
        <f t="shared" si="9"/>
        <v>0</v>
      </c>
      <c r="H33" s="262">
        <f t="shared" si="9"/>
        <v>0</v>
      </c>
      <c r="I33" s="262">
        <f t="shared" si="9"/>
        <v>0</v>
      </c>
      <c r="J33" s="262">
        <f t="shared" si="9"/>
        <v>0</v>
      </c>
      <c r="K33" s="251">
        <f t="shared" si="9"/>
        <v>0</v>
      </c>
      <c r="L33" s="262">
        <f t="shared" si="9"/>
        <v>0</v>
      </c>
      <c r="M33" s="251">
        <f t="shared" si="9"/>
        <v>0</v>
      </c>
      <c r="N33" s="183"/>
    </row>
    <row r="34" spans="1:14" ht="6" customHeight="1" x14ac:dyDescent="0.15">
      <c r="A34" s="183"/>
      <c r="B34" s="263"/>
      <c r="C34" s="263"/>
      <c r="D34" s="204"/>
      <c r="E34" s="264"/>
      <c r="F34" s="264"/>
      <c r="G34" s="264"/>
      <c r="H34" s="264"/>
      <c r="I34" s="264"/>
      <c r="J34" s="264"/>
      <c r="K34" s="265"/>
      <c r="L34" s="266"/>
      <c r="M34" s="265"/>
      <c r="N34" s="183"/>
    </row>
    <row r="35" spans="1:14" x14ac:dyDescent="0.15">
      <c r="A35" s="183"/>
      <c r="B35" s="184" t="s">
        <v>321</v>
      </c>
      <c r="C35" s="184"/>
      <c r="D35" s="183"/>
      <c r="E35" s="183"/>
      <c r="F35" s="183"/>
      <c r="G35" s="183"/>
      <c r="H35" s="183"/>
      <c r="I35" s="183"/>
      <c r="J35" s="183"/>
      <c r="K35" s="267"/>
      <c r="L35" s="183"/>
      <c r="M35" s="268"/>
      <c r="N35" s="183"/>
    </row>
    <row r="36" spans="1:14" x14ac:dyDescent="0.15">
      <c r="A36" s="183"/>
      <c r="B36" s="183"/>
      <c r="C36" s="183" t="s">
        <v>294</v>
      </c>
      <c r="D36" s="183"/>
      <c r="E36" s="269">
        <f t="shared" ref="E36:J36" si="10">VLOOKUP($B$1,Bill_Rates,2)</f>
        <v>0</v>
      </c>
      <c r="F36" s="269">
        <f t="shared" si="10"/>
        <v>0</v>
      </c>
      <c r="G36" s="269">
        <f t="shared" si="10"/>
        <v>0</v>
      </c>
      <c r="H36" s="269">
        <f t="shared" si="10"/>
        <v>0</v>
      </c>
      <c r="I36" s="269">
        <f t="shared" si="10"/>
        <v>0</v>
      </c>
      <c r="J36" s="269">
        <f t="shared" si="10"/>
        <v>0</v>
      </c>
      <c r="K36" s="267"/>
      <c r="L36" s="269">
        <f>VLOOKUP($B$1,Bill_Rates,2)</f>
        <v>0</v>
      </c>
      <c r="M36" s="267"/>
      <c r="N36" s="183"/>
    </row>
    <row r="37" spans="1:14" x14ac:dyDescent="0.15">
      <c r="A37" s="183"/>
      <c r="B37" s="183"/>
      <c r="C37" s="183" t="s">
        <v>65</v>
      </c>
      <c r="D37" s="183"/>
      <c r="E37" s="269">
        <f t="shared" ref="E37:J37" si="11">VLOOKUP($B$1,Bill_Rates,3)</f>
        <v>0</v>
      </c>
      <c r="F37" s="269">
        <f t="shared" si="11"/>
        <v>0</v>
      </c>
      <c r="G37" s="269">
        <f t="shared" si="11"/>
        <v>0</v>
      </c>
      <c r="H37" s="269">
        <f t="shared" si="11"/>
        <v>0</v>
      </c>
      <c r="I37" s="269">
        <f t="shared" si="11"/>
        <v>0</v>
      </c>
      <c r="J37" s="269">
        <f t="shared" si="11"/>
        <v>0</v>
      </c>
      <c r="K37" s="267"/>
      <c r="L37" s="269">
        <f>VLOOKUP($B$1,Bill_Rates,3)</f>
        <v>0</v>
      </c>
      <c r="M37" s="267"/>
      <c r="N37" s="183"/>
    </row>
    <row r="38" spans="1:14" x14ac:dyDescent="0.15">
      <c r="A38" s="183"/>
      <c r="B38" s="183"/>
      <c r="C38" s="183" t="s">
        <v>84</v>
      </c>
      <c r="D38" s="183"/>
      <c r="E38" s="269">
        <f t="shared" ref="E38:J38" si="12">VLOOKUP($B$1,Bill_Rates,4)</f>
        <v>0</v>
      </c>
      <c r="F38" s="269">
        <f t="shared" si="12"/>
        <v>0</v>
      </c>
      <c r="G38" s="269">
        <f t="shared" si="12"/>
        <v>0</v>
      </c>
      <c r="H38" s="269">
        <f t="shared" si="12"/>
        <v>0</v>
      </c>
      <c r="I38" s="269">
        <f t="shared" si="12"/>
        <v>0</v>
      </c>
      <c r="J38" s="269">
        <f t="shared" si="12"/>
        <v>0</v>
      </c>
      <c r="K38" s="267"/>
      <c r="L38" s="269">
        <f>VLOOKUP($B$1,Bill_Rates,4)</f>
        <v>0</v>
      </c>
      <c r="M38" s="267"/>
      <c r="N38" s="183"/>
    </row>
    <row r="39" spans="1:14" x14ac:dyDescent="0.15">
      <c r="A39" s="183"/>
      <c r="B39" s="183"/>
      <c r="C39" s="183" t="s">
        <v>143</v>
      </c>
      <c r="D39" s="183"/>
      <c r="E39" s="269">
        <f t="shared" ref="E39:J39" si="13">VLOOKUP($B$1,Bill_Rates,13)</f>
        <v>0</v>
      </c>
      <c r="F39" s="269">
        <f t="shared" si="13"/>
        <v>0</v>
      </c>
      <c r="G39" s="269">
        <f t="shared" si="13"/>
        <v>0</v>
      </c>
      <c r="H39" s="269">
        <f t="shared" si="13"/>
        <v>0</v>
      </c>
      <c r="I39" s="269">
        <f t="shared" si="13"/>
        <v>0</v>
      </c>
      <c r="J39" s="269">
        <f t="shared" si="13"/>
        <v>0</v>
      </c>
      <c r="K39" s="267"/>
      <c r="L39" s="269">
        <f>VLOOKUP($B$1,Bill_Rates,13)</f>
        <v>0</v>
      </c>
      <c r="M39" s="267"/>
      <c r="N39" s="183"/>
    </row>
    <row r="40" spans="1:14" x14ac:dyDescent="0.15">
      <c r="A40" s="183"/>
      <c r="B40" s="183"/>
      <c r="C40" s="183" t="s">
        <v>206</v>
      </c>
      <c r="D40" s="183"/>
      <c r="E40" s="269">
        <f t="shared" ref="E40:J40" si="14">VLOOKUP($B$1,Bill_Rates,14)</f>
        <v>0</v>
      </c>
      <c r="F40" s="269">
        <f t="shared" si="14"/>
        <v>0</v>
      </c>
      <c r="G40" s="269">
        <f t="shared" si="14"/>
        <v>0</v>
      </c>
      <c r="H40" s="269">
        <f t="shared" si="14"/>
        <v>0</v>
      </c>
      <c r="I40" s="269">
        <f t="shared" si="14"/>
        <v>0</v>
      </c>
      <c r="J40" s="269">
        <f t="shared" si="14"/>
        <v>0</v>
      </c>
      <c r="K40" s="267"/>
      <c r="L40" s="269">
        <f>VLOOKUP($B$1,Bill_Rates,14)</f>
        <v>0</v>
      </c>
      <c r="M40" s="267"/>
      <c r="N40" s="183"/>
    </row>
    <row r="41" spans="1:14" x14ac:dyDescent="0.15">
      <c r="A41" s="183"/>
      <c r="B41" s="183"/>
      <c r="C41" s="183" t="s">
        <v>295</v>
      </c>
      <c r="D41" s="183"/>
      <c r="E41" s="269">
        <f t="shared" ref="E41:J41" si="15">VLOOKUP($B$1,Bill_Rates,15)</f>
        <v>0</v>
      </c>
      <c r="F41" s="269">
        <f t="shared" si="15"/>
        <v>0</v>
      </c>
      <c r="G41" s="269">
        <f t="shared" si="15"/>
        <v>0</v>
      </c>
      <c r="H41" s="269">
        <f t="shared" si="15"/>
        <v>0</v>
      </c>
      <c r="I41" s="269">
        <f t="shared" si="15"/>
        <v>0</v>
      </c>
      <c r="J41" s="269">
        <f t="shared" si="15"/>
        <v>0</v>
      </c>
      <c r="K41" s="267"/>
      <c r="L41" s="269">
        <f>VLOOKUP($B$1,Bill_Rates,15)</f>
        <v>0</v>
      </c>
      <c r="M41" s="267"/>
      <c r="N41" s="183"/>
    </row>
    <row r="42" spans="1:14" x14ac:dyDescent="0.15">
      <c r="A42" s="183"/>
      <c r="B42" s="183"/>
      <c r="C42" s="183" t="s">
        <v>69</v>
      </c>
      <c r="D42" s="183"/>
      <c r="E42" s="269">
        <f t="shared" ref="E42:J42" si="16">VLOOKUP($B$1,Bill_Rates,8)</f>
        <v>0</v>
      </c>
      <c r="F42" s="269">
        <f t="shared" si="16"/>
        <v>0</v>
      </c>
      <c r="G42" s="269">
        <f t="shared" si="16"/>
        <v>0</v>
      </c>
      <c r="H42" s="269">
        <f t="shared" si="16"/>
        <v>0</v>
      </c>
      <c r="I42" s="269">
        <f t="shared" si="16"/>
        <v>0</v>
      </c>
      <c r="J42" s="269">
        <f t="shared" si="16"/>
        <v>0</v>
      </c>
      <c r="K42" s="267"/>
      <c r="L42" s="269">
        <f>VLOOKUP($B$1,Bill_Rates,8)</f>
        <v>0</v>
      </c>
      <c r="M42" s="267"/>
      <c r="N42" s="183"/>
    </row>
    <row r="43" spans="1:14" x14ac:dyDescent="0.15">
      <c r="A43" s="183"/>
      <c r="B43" s="183"/>
      <c r="C43" s="183" t="s">
        <v>256</v>
      </c>
      <c r="D43" s="183"/>
      <c r="E43" s="269">
        <f t="shared" ref="E43:J43" si="17">VLOOKUP($B$1,Bill_Rates,9)</f>
        <v>0</v>
      </c>
      <c r="F43" s="269">
        <f t="shared" si="17"/>
        <v>0</v>
      </c>
      <c r="G43" s="269">
        <f t="shared" si="17"/>
        <v>0</v>
      </c>
      <c r="H43" s="269">
        <f t="shared" si="17"/>
        <v>0</v>
      </c>
      <c r="I43" s="269">
        <f t="shared" si="17"/>
        <v>0</v>
      </c>
      <c r="J43" s="269">
        <f t="shared" si="17"/>
        <v>0</v>
      </c>
      <c r="K43" s="267"/>
      <c r="L43" s="269">
        <f>VLOOKUP($B$1,Bill_Rates,9)</f>
        <v>0</v>
      </c>
      <c r="M43" s="267"/>
      <c r="N43" s="183"/>
    </row>
    <row r="44" spans="1:14" ht="6" customHeight="1" x14ac:dyDescent="0.15">
      <c r="A44" s="183"/>
      <c r="B44" s="184"/>
      <c r="C44" s="184"/>
      <c r="D44" s="183"/>
      <c r="E44" s="238"/>
      <c r="F44" s="238"/>
      <c r="G44" s="238"/>
      <c r="H44" s="238"/>
      <c r="I44" s="238"/>
      <c r="J44" s="238"/>
      <c r="K44" s="240"/>
      <c r="L44" s="241"/>
      <c r="M44" s="240"/>
      <c r="N44" s="183"/>
    </row>
    <row r="45" spans="1:14" x14ac:dyDescent="0.15">
      <c r="A45" s="183"/>
      <c r="B45" s="184" t="s">
        <v>359</v>
      </c>
      <c r="C45" s="184"/>
      <c r="D45" s="183"/>
      <c r="E45" s="183"/>
      <c r="F45" s="183"/>
      <c r="G45" s="183"/>
      <c r="H45" s="183"/>
      <c r="I45" s="183"/>
      <c r="J45" s="183"/>
      <c r="K45" s="267"/>
      <c r="L45" s="183"/>
      <c r="M45" s="267"/>
      <c r="N45" s="183"/>
    </row>
    <row r="46" spans="1:14" x14ac:dyDescent="0.15">
      <c r="A46" s="183"/>
      <c r="B46" s="183"/>
      <c r="C46" s="183" t="s">
        <v>294</v>
      </c>
      <c r="D46" s="183"/>
      <c r="E46" s="270">
        <f t="shared" ref="E46:J53" si="18">E10*E36</f>
        <v>0</v>
      </c>
      <c r="F46" s="270">
        <f t="shared" si="18"/>
        <v>0</v>
      </c>
      <c r="G46" s="270">
        <f t="shared" si="18"/>
        <v>0</v>
      </c>
      <c r="H46" s="270">
        <f t="shared" si="18"/>
        <v>0</v>
      </c>
      <c r="I46" s="270">
        <f t="shared" si="18"/>
        <v>0</v>
      </c>
      <c r="J46" s="270">
        <f t="shared" si="18"/>
        <v>0</v>
      </c>
      <c r="K46" s="271">
        <f>SUM(E46:J46)</f>
        <v>0</v>
      </c>
      <c r="L46" s="270">
        <f t="shared" ref="L46:L53" si="19">L10*L36</f>
        <v>0</v>
      </c>
      <c r="M46" s="341">
        <f>SUM(K46:L46)</f>
        <v>0</v>
      </c>
      <c r="N46" s="183"/>
    </row>
    <row r="47" spans="1:14" x14ac:dyDescent="0.15">
      <c r="A47" s="183"/>
      <c r="B47" s="183"/>
      <c r="C47" s="183" t="s">
        <v>65</v>
      </c>
      <c r="D47" s="183"/>
      <c r="E47" s="270">
        <f t="shared" si="18"/>
        <v>0</v>
      </c>
      <c r="F47" s="270">
        <f t="shared" si="18"/>
        <v>0</v>
      </c>
      <c r="G47" s="270">
        <f t="shared" si="18"/>
        <v>0</v>
      </c>
      <c r="H47" s="270">
        <f t="shared" si="18"/>
        <v>0</v>
      </c>
      <c r="I47" s="270">
        <f t="shared" si="18"/>
        <v>0</v>
      </c>
      <c r="J47" s="270">
        <f t="shared" si="18"/>
        <v>0</v>
      </c>
      <c r="K47" s="271">
        <f t="shared" ref="K47:K53" si="20">SUM(E47:J47)</f>
        <v>0</v>
      </c>
      <c r="L47" s="270">
        <f t="shared" si="19"/>
        <v>0</v>
      </c>
      <c r="M47" s="341">
        <f t="shared" ref="M47:M53" si="21">SUM(K47:L47)</f>
        <v>0</v>
      </c>
      <c r="N47" s="183"/>
    </row>
    <row r="48" spans="1:14" x14ac:dyDescent="0.15">
      <c r="A48" s="183"/>
      <c r="B48" s="183"/>
      <c r="C48" s="183" t="s">
        <v>84</v>
      </c>
      <c r="D48" s="183"/>
      <c r="E48" s="270">
        <f t="shared" si="18"/>
        <v>0</v>
      </c>
      <c r="F48" s="270">
        <f t="shared" si="18"/>
        <v>0</v>
      </c>
      <c r="G48" s="270">
        <f t="shared" si="18"/>
        <v>0</v>
      </c>
      <c r="H48" s="270">
        <f t="shared" si="18"/>
        <v>0</v>
      </c>
      <c r="I48" s="270">
        <f t="shared" si="18"/>
        <v>0</v>
      </c>
      <c r="J48" s="270">
        <f t="shared" si="18"/>
        <v>0</v>
      </c>
      <c r="K48" s="271">
        <f t="shared" si="20"/>
        <v>0</v>
      </c>
      <c r="L48" s="270">
        <f t="shared" si="19"/>
        <v>0</v>
      </c>
      <c r="M48" s="341">
        <f t="shared" si="21"/>
        <v>0</v>
      </c>
      <c r="N48" s="183"/>
    </row>
    <row r="49" spans="1:14" x14ac:dyDescent="0.15">
      <c r="A49" s="183"/>
      <c r="B49" s="183"/>
      <c r="C49" s="183" t="s">
        <v>143</v>
      </c>
      <c r="D49" s="183"/>
      <c r="E49" s="270">
        <f t="shared" si="18"/>
        <v>0</v>
      </c>
      <c r="F49" s="270">
        <f t="shared" si="18"/>
        <v>0</v>
      </c>
      <c r="G49" s="270">
        <f t="shared" si="18"/>
        <v>0</v>
      </c>
      <c r="H49" s="270">
        <f t="shared" si="18"/>
        <v>0</v>
      </c>
      <c r="I49" s="270">
        <f t="shared" si="18"/>
        <v>0</v>
      </c>
      <c r="J49" s="270">
        <f t="shared" si="18"/>
        <v>0</v>
      </c>
      <c r="K49" s="271">
        <f t="shared" si="20"/>
        <v>0</v>
      </c>
      <c r="L49" s="270">
        <f t="shared" si="19"/>
        <v>0</v>
      </c>
      <c r="M49" s="341">
        <f t="shared" si="21"/>
        <v>0</v>
      </c>
      <c r="N49" s="183"/>
    </row>
    <row r="50" spans="1:14" x14ac:dyDescent="0.15">
      <c r="A50" s="183"/>
      <c r="B50" s="183"/>
      <c r="C50" s="183" t="s">
        <v>206</v>
      </c>
      <c r="D50" s="183"/>
      <c r="E50" s="270">
        <f t="shared" si="18"/>
        <v>0</v>
      </c>
      <c r="F50" s="270">
        <f t="shared" si="18"/>
        <v>0</v>
      </c>
      <c r="G50" s="270">
        <f t="shared" si="18"/>
        <v>0</v>
      </c>
      <c r="H50" s="270">
        <f t="shared" si="18"/>
        <v>0</v>
      </c>
      <c r="I50" s="270">
        <f t="shared" si="18"/>
        <v>0</v>
      </c>
      <c r="J50" s="270">
        <f t="shared" si="18"/>
        <v>0</v>
      </c>
      <c r="K50" s="271">
        <f t="shared" si="20"/>
        <v>0</v>
      </c>
      <c r="L50" s="270">
        <f t="shared" si="19"/>
        <v>0</v>
      </c>
      <c r="M50" s="341">
        <f t="shared" si="21"/>
        <v>0</v>
      </c>
      <c r="N50" s="183"/>
    </row>
    <row r="51" spans="1:14" x14ac:dyDescent="0.15">
      <c r="A51" s="183"/>
      <c r="B51" s="183"/>
      <c r="C51" s="183" t="s">
        <v>295</v>
      </c>
      <c r="D51" s="183"/>
      <c r="E51" s="270">
        <f t="shared" si="18"/>
        <v>0</v>
      </c>
      <c r="F51" s="270">
        <f t="shared" si="18"/>
        <v>0</v>
      </c>
      <c r="G51" s="270">
        <f t="shared" si="18"/>
        <v>0</v>
      </c>
      <c r="H51" s="270">
        <f t="shared" si="18"/>
        <v>0</v>
      </c>
      <c r="I51" s="270">
        <f t="shared" si="18"/>
        <v>0</v>
      </c>
      <c r="J51" s="270">
        <f t="shared" si="18"/>
        <v>0</v>
      </c>
      <c r="K51" s="271">
        <f t="shared" si="20"/>
        <v>0</v>
      </c>
      <c r="L51" s="270">
        <f t="shared" si="19"/>
        <v>0</v>
      </c>
      <c r="M51" s="341">
        <f t="shared" si="21"/>
        <v>0</v>
      </c>
      <c r="N51" s="183"/>
    </row>
    <row r="52" spans="1:14" x14ac:dyDescent="0.15">
      <c r="A52" s="183"/>
      <c r="B52" s="183"/>
      <c r="C52" s="183" t="s">
        <v>69</v>
      </c>
      <c r="D52" s="183"/>
      <c r="E52" s="270">
        <f t="shared" si="18"/>
        <v>0</v>
      </c>
      <c r="F52" s="270">
        <f t="shared" si="18"/>
        <v>0</v>
      </c>
      <c r="G52" s="270">
        <f t="shared" si="18"/>
        <v>0</v>
      </c>
      <c r="H52" s="270">
        <f t="shared" si="18"/>
        <v>0</v>
      </c>
      <c r="I52" s="270">
        <f t="shared" si="18"/>
        <v>0</v>
      </c>
      <c r="J52" s="270">
        <f t="shared" si="18"/>
        <v>0</v>
      </c>
      <c r="K52" s="271">
        <f t="shared" si="20"/>
        <v>0</v>
      </c>
      <c r="L52" s="270">
        <f t="shared" si="19"/>
        <v>0</v>
      </c>
      <c r="M52" s="341">
        <f t="shared" si="21"/>
        <v>0</v>
      </c>
      <c r="N52" s="183"/>
    </row>
    <row r="53" spans="1:14" x14ac:dyDescent="0.15">
      <c r="A53" s="183"/>
      <c r="B53" s="183"/>
      <c r="C53" s="183" t="s">
        <v>256</v>
      </c>
      <c r="D53" s="183"/>
      <c r="E53" s="270">
        <f t="shared" si="18"/>
        <v>0</v>
      </c>
      <c r="F53" s="270">
        <f t="shared" si="18"/>
        <v>0</v>
      </c>
      <c r="G53" s="270">
        <f t="shared" si="18"/>
        <v>0</v>
      </c>
      <c r="H53" s="270">
        <f t="shared" si="18"/>
        <v>0</v>
      </c>
      <c r="I53" s="270">
        <f t="shared" si="18"/>
        <v>0</v>
      </c>
      <c r="J53" s="270">
        <f t="shared" si="18"/>
        <v>0</v>
      </c>
      <c r="K53" s="271">
        <f t="shared" si="20"/>
        <v>0</v>
      </c>
      <c r="L53" s="270">
        <f t="shared" si="19"/>
        <v>0</v>
      </c>
      <c r="M53" s="341">
        <f t="shared" si="21"/>
        <v>0</v>
      </c>
      <c r="N53" s="183"/>
    </row>
    <row r="54" spans="1:14" x14ac:dyDescent="0.15">
      <c r="A54" s="183"/>
      <c r="B54" s="217" t="s">
        <v>352</v>
      </c>
      <c r="C54" s="201"/>
      <c r="D54" s="201"/>
      <c r="E54" s="272">
        <f t="shared" ref="E54:M54" si="22">SUM(E46:E53)</f>
        <v>0</v>
      </c>
      <c r="F54" s="272">
        <f t="shared" si="22"/>
        <v>0</v>
      </c>
      <c r="G54" s="272">
        <f t="shared" si="22"/>
        <v>0</v>
      </c>
      <c r="H54" s="272">
        <f t="shared" si="22"/>
        <v>0</v>
      </c>
      <c r="I54" s="272">
        <f t="shared" si="22"/>
        <v>0</v>
      </c>
      <c r="J54" s="272">
        <f t="shared" si="22"/>
        <v>0</v>
      </c>
      <c r="K54" s="273">
        <f t="shared" si="22"/>
        <v>0</v>
      </c>
      <c r="L54" s="272">
        <f t="shared" si="22"/>
        <v>0</v>
      </c>
      <c r="M54" s="342">
        <f t="shared" si="22"/>
        <v>0</v>
      </c>
      <c r="N54" s="183"/>
    </row>
    <row r="55" spans="1:14" ht="6" customHeight="1" x14ac:dyDescent="0.15">
      <c r="A55" s="183"/>
      <c r="B55" s="184"/>
      <c r="C55" s="184"/>
      <c r="D55" s="237"/>
      <c r="E55" s="238"/>
      <c r="F55" s="238"/>
      <c r="G55" s="238"/>
      <c r="H55" s="238"/>
      <c r="I55" s="238"/>
      <c r="J55" s="238"/>
      <c r="K55" s="240"/>
      <c r="L55" s="241"/>
      <c r="M55" s="240"/>
      <c r="N55" s="183"/>
    </row>
    <row r="56" spans="1:14" x14ac:dyDescent="0.15">
      <c r="A56" s="183"/>
      <c r="B56" s="184" t="s">
        <v>381</v>
      </c>
      <c r="C56" s="183"/>
      <c r="D56" s="183"/>
      <c r="E56" s="270"/>
      <c r="F56" s="270"/>
      <c r="G56" s="270"/>
      <c r="H56" s="270"/>
      <c r="I56" s="270"/>
      <c r="J56" s="270"/>
      <c r="K56" s="271"/>
      <c r="L56" s="270"/>
      <c r="M56" s="271"/>
      <c r="N56" s="183"/>
    </row>
    <row r="57" spans="1:14" x14ac:dyDescent="0.15">
      <c r="A57" s="183"/>
      <c r="B57" s="183"/>
      <c r="C57" s="183" t="s">
        <v>294</v>
      </c>
      <c r="D57" s="183"/>
      <c r="E57" s="270">
        <f t="shared" ref="E57:J59" si="23">E46*(1-E$67)</f>
        <v>0</v>
      </c>
      <c r="F57" s="270">
        <f t="shared" si="23"/>
        <v>0</v>
      </c>
      <c r="G57" s="270">
        <f t="shared" si="23"/>
        <v>0</v>
      </c>
      <c r="H57" s="270">
        <f t="shared" si="23"/>
        <v>0</v>
      </c>
      <c r="I57" s="270">
        <f t="shared" si="23"/>
        <v>0</v>
      </c>
      <c r="J57" s="270">
        <f t="shared" si="23"/>
        <v>0</v>
      </c>
      <c r="K57" s="271">
        <f t="shared" ref="K57:K64" si="24">SUM(E57:J57)</f>
        <v>0</v>
      </c>
      <c r="L57" s="270">
        <f t="shared" ref="L57:L64" si="25">L46*(1-L$67)</f>
        <v>0</v>
      </c>
      <c r="M57" s="341">
        <f t="shared" ref="M57:M64" si="26">SUM(K57:L57)</f>
        <v>0</v>
      </c>
      <c r="N57" s="183"/>
    </row>
    <row r="58" spans="1:14" x14ac:dyDescent="0.15">
      <c r="A58" s="183"/>
      <c r="B58" s="183"/>
      <c r="C58" s="183" t="s">
        <v>65</v>
      </c>
      <c r="D58" s="183"/>
      <c r="E58" s="270">
        <f t="shared" si="23"/>
        <v>0</v>
      </c>
      <c r="F58" s="270">
        <f t="shared" si="23"/>
        <v>0</v>
      </c>
      <c r="G58" s="270">
        <f t="shared" si="23"/>
        <v>0</v>
      </c>
      <c r="H58" s="270">
        <f t="shared" si="23"/>
        <v>0</v>
      </c>
      <c r="I58" s="270">
        <f t="shared" si="23"/>
        <v>0</v>
      </c>
      <c r="J58" s="270">
        <f t="shared" si="23"/>
        <v>0</v>
      </c>
      <c r="K58" s="271">
        <f t="shared" si="24"/>
        <v>0</v>
      </c>
      <c r="L58" s="270">
        <f t="shared" si="25"/>
        <v>0</v>
      </c>
      <c r="M58" s="341">
        <f t="shared" si="26"/>
        <v>0</v>
      </c>
      <c r="N58" s="183"/>
    </row>
    <row r="59" spans="1:14" x14ac:dyDescent="0.15">
      <c r="A59" s="183"/>
      <c r="B59" s="183"/>
      <c r="C59" s="183" t="s">
        <v>84</v>
      </c>
      <c r="D59" s="183"/>
      <c r="E59" s="270">
        <f t="shared" si="23"/>
        <v>0</v>
      </c>
      <c r="F59" s="270">
        <f t="shared" si="23"/>
        <v>0</v>
      </c>
      <c r="G59" s="270">
        <f t="shared" si="23"/>
        <v>0</v>
      </c>
      <c r="H59" s="270">
        <f t="shared" si="23"/>
        <v>0</v>
      </c>
      <c r="I59" s="270">
        <f t="shared" si="23"/>
        <v>0</v>
      </c>
      <c r="J59" s="270">
        <f t="shared" si="23"/>
        <v>0</v>
      </c>
      <c r="K59" s="271">
        <f t="shared" si="24"/>
        <v>0</v>
      </c>
      <c r="L59" s="270">
        <f t="shared" si="25"/>
        <v>0</v>
      </c>
      <c r="M59" s="341">
        <f t="shared" si="26"/>
        <v>0</v>
      </c>
      <c r="N59" s="183"/>
    </row>
    <row r="60" spans="1:14" x14ac:dyDescent="0.15">
      <c r="A60" s="183"/>
      <c r="B60" s="183"/>
      <c r="C60" s="183" t="s">
        <v>143</v>
      </c>
      <c r="D60" s="183"/>
      <c r="E60" s="270">
        <f t="shared" ref="E60:F64" si="27">E49*(1-E$67)</f>
        <v>0</v>
      </c>
      <c r="F60" s="270">
        <f t="shared" si="27"/>
        <v>0</v>
      </c>
      <c r="G60" s="270">
        <f t="shared" ref="G60:J64" si="28">G49*(1-G$67)</f>
        <v>0</v>
      </c>
      <c r="H60" s="270">
        <f t="shared" si="28"/>
        <v>0</v>
      </c>
      <c r="I60" s="270">
        <f t="shared" si="28"/>
        <v>0</v>
      </c>
      <c r="J60" s="270">
        <f t="shared" si="28"/>
        <v>0</v>
      </c>
      <c r="K60" s="271">
        <f t="shared" si="24"/>
        <v>0</v>
      </c>
      <c r="L60" s="270">
        <f t="shared" si="25"/>
        <v>0</v>
      </c>
      <c r="M60" s="341">
        <f t="shared" si="26"/>
        <v>0</v>
      </c>
      <c r="N60" s="183"/>
    </row>
    <row r="61" spans="1:14" x14ac:dyDescent="0.15">
      <c r="A61" s="183"/>
      <c r="B61" s="183"/>
      <c r="C61" s="183" t="s">
        <v>206</v>
      </c>
      <c r="D61" s="183"/>
      <c r="E61" s="270">
        <f t="shared" si="27"/>
        <v>0</v>
      </c>
      <c r="F61" s="270">
        <f t="shared" si="27"/>
        <v>0</v>
      </c>
      <c r="G61" s="270">
        <f t="shared" si="28"/>
        <v>0</v>
      </c>
      <c r="H61" s="270">
        <f t="shared" si="28"/>
        <v>0</v>
      </c>
      <c r="I61" s="270">
        <f t="shared" si="28"/>
        <v>0</v>
      </c>
      <c r="J61" s="270">
        <f t="shared" si="28"/>
        <v>0</v>
      </c>
      <c r="K61" s="271">
        <f t="shared" si="24"/>
        <v>0</v>
      </c>
      <c r="L61" s="270">
        <f t="shared" si="25"/>
        <v>0</v>
      </c>
      <c r="M61" s="341">
        <f t="shared" si="26"/>
        <v>0</v>
      </c>
      <c r="N61" s="183"/>
    </row>
    <row r="62" spans="1:14" x14ac:dyDescent="0.15">
      <c r="A62" s="183"/>
      <c r="B62" s="183"/>
      <c r="C62" s="183" t="s">
        <v>295</v>
      </c>
      <c r="D62" s="183"/>
      <c r="E62" s="270">
        <f t="shared" si="27"/>
        <v>0</v>
      </c>
      <c r="F62" s="270">
        <f t="shared" si="27"/>
        <v>0</v>
      </c>
      <c r="G62" s="270">
        <f t="shared" si="28"/>
        <v>0</v>
      </c>
      <c r="H62" s="270">
        <f t="shared" si="28"/>
        <v>0</v>
      </c>
      <c r="I62" s="270">
        <f t="shared" si="28"/>
        <v>0</v>
      </c>
      <c r="J62" s="270">
        <f t="shared" si="28"/>
        <v>0</v>
      </c>
      <c r="K62" s="271">
        <f t="shared" si="24"/>
        <v>0</v>
      </c>
      <c r="L62" s="270">
        <f t="shared" si="25"/>
        <v>0</v>
      </c>
      <c r="M62" s="341">
        <f t="shared" si="26"/>
        <v>0</v>
      </c>
      <c r="N62" s="183"/>
    </row>
    <row r="63" spans="1:14" x14ac:dyDescent="0.15">
      <c r="A63" s="183"/>
      <c r="B63" s="183"/>
      <c r="C63" s="183" t="s">
        <v>69</v>
      </c>
      <c r="D63" s="183"/>
      <c r="E63" s="270">
        <f t="shared" si="27"/>
        <v>0</v>
      </c>
      <c r="F63" s="270">
        <f t="shared" si="27"/>
        <v>0</v>
      </c>
      <c r="G63" s="270">
        <f t="shared" si="28"/>
        <v>0</v>
      </c>
      <c r="H63" s="270">
        <f t="shared" si="28"/>
        <v>0</v>
      </c>
      <c r="I63" s="270">
        <f t="shared" si="28"/>
        <v>0</v>
      </c>
      <c r="J63" s="270">
        <f t="shared" si="28"/>
        <v>0</v>
      </c>
      <c r="K63" s="271">
        <f t="shared" si="24"/>
        <v>0</v>
      </c>
      <c r="L63" s="270">
        <f t="shared" si="25"/>
        <v>0</v>
      </c>
      <c r="M63" s="341">
        <f t="shared" si="26"/>
        <v>0</v>
      </c>
      <c r="N63" s="183"/>
    </row>
    <row r="64" spans="1:14" x14ac:dyDescent="0.15">
      <c r="A64" s="183"/>
      <c r="B64" s="183"/>
      <c r="C64" s="183" t="s">
        <v>256</v>
      </c>
      <c r="D64" s="183"/>
      <c r="E64" s="270">
        <f t="shared" si="27"/>
        <v>0</v>
      </c>
      <c r="F64" s="270">
        <f t="shared" si="27"/>
        <v>0</v>
      </c>
      <c r="G64" s="270">
        <f t="shared" si="28"/>
        <v>0</v>
      </c>
      <c r="H64" s="270">
        <f t="shared" si="28"/>
        <v>0</v>
      </c>
      <c r="I64" s="270">
        <f t="shared" si="28"/>
        <v>0</v>
      </c>
      <c r="J64" s="270">
        <f t="shared" si="28"/>
        <v>0</v>
      </c>
      <c r="K64" s="271">
        <f t="shared" si="24"/>
        <v>0</v>
      </c>
      <c r="L64" s="270">
        <f t="shared" si="25"/>
        <v>0</v>
      </c>
      <c r="M64" s="341">
        <f t="shared" si="26"/>
        <v>0</v>
      </c>
      <c r="N64" s="183"/>
    </row>
    <row r="65" spans="1:14" x14ac:dyDescent="0.15">
      <c r="A65" s="183"/>
      <c r="B65" s="184" t="s">
        <v>382</v>
      </c>
      <c r="C65" s="183"/>
      <c r="D65" s="183"/>
      <c r="E65" s="302">
        <f t="shared" ref="E65:M65" si="29">SUM(E57:E64)</f>
        <v>0</v>
      </c>
      <c r="F65" s="302">
        <f t="shared" si="29"/>
        <v>0</v>
      </c>
      <c r="G65" s="302">
        <f t="shared" si="29"/>
        <v>0</v>
      </c>
      <c r="H65" s="302">
        <f t="shared" si="29"/>
        <v>0</v>
      </c>
      <c r="I65" s="302">
        <f t="shared" si="29"/>
        <v>0</v>
      </c>
      <c r="J65" s="302">
        <f t="shared" si="29"/>
        <v>0</v>
      </c>
      <c r="K65" s="303">
        <f t="shared" si="29"/>
        <v>0</v>
      </c>
      <c r="L65" s="302">
        <f t="shared" si="29"/>
        <v>0</v>
      </c>
      <c r="M65" s="346">
        <f t="shared" si="29"/>
        <v>0</v>
      </c>
      <c r="N65" s="183"/>
    </row>
    <row r="66" spans="1:14" ht="6" customHeight="1" x14ac:dyDescent="0.15">
      <c r="A66" s="183"/>
      <c r="B66" s="184"/>
      <c r="C66" s="184"/>
      <c r="D66" s="237"/>
      <c r="E66" s="238"/>
      <c r="F66" s="238"/>
      <c r="G66" s="238"/>
      <c r="H66" s="238"/>
      <c r="I66" s="238"/>
      <c r="J66" s="238"/>
      <c r="K66" s="240"/>
      <c r="L66" s="241"/>
      <c r="M66" s="240"/>
      <c r="N66" s="183"/>
    </row>
    <row r="67" spans="1:14" x14ac:dyDescent="0.15">
      <c r="A67" s="183"/>
      <c r="B67" s="184" t="s">
        <v>322</v>
      </c>
      <c r="C67" s="237"/>
      <c r="D67" s="237"/>
      <c r="E67" s="258">
        <f>'Input Specification and Output'!E109</f>
        <v>0</v>
      </c>
      <c r="F67" s="258">
        <f>'Input Specification and Output'!F109</f>
        <v>0</v>
      </c>
      <c r="G67" s="258">
        <f>'Input Specification and Output'!G109</f>
        <v>0</v>
      </c>
      <c r="H67" s="258">
        <f>'Input Specification and Output'!H109</f>
        <v>0</v>
      </c>
      <c r="I67" s="258">
        <f>'Input Specification and Output'!I109</f>
        <v>0</v>
      </c>
      <c r="J67" s="258">
        <f>'Input Specification and Output'!J109</f>
        <v>0</v>
      </c>
      <c r="K67" s="259" t="str">
        <f>IF(K54=0,"",(K54-K69)/K54)</f>
        <v/>
      </c>
      <c r="L67" s="258">
        <f>'Input Specification and Output'!L109</f>
        <v>0</v>
      </c>
      <c r="M67" s="259" t="str">
        <f>IF(M54=0,"",(M54-M69)/M54)</f>
        <v/>
      </c>
      <c r="N67" s="183"/>
    </row>
    <row r="68" spans="1:14" ht="6" customHeight="1" x14ac:dyDescent="0.15">
      <c r="A68" s="183"/>
      <c r="B68" s="184"/>
      <c r="C68" s="184"/>
      <c r="D68" s="237"/>
      <c r="E68" s="238"/>
      <c r="F68" s="238"/>
      <c r="G68" s="238"/>
      <c r="H68" s="238"/>
      <c r="I68" s="238"/>
      <c r="J68" s="238"/>
      <c r="K68" s="240"/>
      <c r="L68" s="241"/>
      <c r="M68" s="240"/>
      <c r="N68" s="183"/>
    </row>
    <row r="69" spans="1:14" x14ac:dyDescent="0.15">
      <c r="A69" s="183"/>
      <c r="B69" s="218" t="s">
        <v>353</v>
      </c>
      <c r="C69" s="274"/>
      <c r="D69" s="274"/>
      <c r="E69" s="275">
        <f t="shared" ref="E69:J69" si="30">E54*(1-E67)</f>
        <v>0</v>
      </c>
      <c r="F69" s="275">
        <f t="shared" si="30"/>
        <v>0</v>
      </c>
      <c r="G69" s="275">
        <f t="shared" si="30"/>
        <v>0</v>
      </c>
      <c r="H69" s="275">
        <f t="shared" si="30"/>
        <v>0</v>
      </c>
      <c r="I69" s="275">
        <f t="shared" si="30"/>
        <v>0</v>
      </c>
      <c r="J69" s="275">
        <f t="shared" si="30"/>
        <v>0</v>
      </c>
      <c r="K69" s="276">
        <f>SUM(E69:J69)</f>
        <v>0</v>
      </c>
      <c r="L69" s="275">
        <f>L54*(1-L67)</f>
        <v>0</v>
      </c>
      <c r="M69" s="277">
        <f>SUM(K69:L69)</f>
        <v>0</v>
      </c>
      <c r="N69" s="183"/>
    </row>
    <row r="70" spans="1:14" x14ac:dyDescent="0.15">
      <c r="A70" s="183"/>
      <c r="B70" s="274"/>
      <c r="C70" s="218" t="s">
        <v>293</v>
      </c>
      <c r="D70" s="274"/>
      <c r="E70" s="278" t="str">
        <f t="shared" ref="E70:M70" si="31">IF(E31=0,"",E69/E31)</f>
        <v/>
      </c>
      <c r="F70" s="278" t="str">
        <f t="shared" si="31"/>
        <v/>
      </c>
      <c r="G70" s="278" t="str">
        <f t="shared" si="31"/>
        <v/>
      </c>
      <c r="H70" s="278" t="str">
        <f t="shared" si="31"/>
        <v/>
      </c>
      <c r="I70" s="278" t="str">
        <f t="shared" si="31"/>
        <v/>
      </c>
      <c r="J70" s="278" t="str">
        <f t="shared" si="31"/>
        <v/>
      </c>
      <c r="K70" s="279" t="str">
        <f t="shared" si="31"/>
        <v/>
      </c>
      <c r="L70" s="278" t="str">
        <f t="shared" si="31"/>
        <v/>
      </c>
      <c r="M70" s="279" t="str">
        <f t="shared" si="31"/>
        <v/>
      </c>
      <c r="N70" s="183"/>
    </row>
    <row r="71" spans="1:14" ht="6" customHeight="1" x14ac:dyDescent="0.15">
      <c r="A71" s="183"/>
      <c r="B71" s="184"/>
      <c r="C71" s="184"/>
      <c r="D71" s="183"/>
      <c r="E71" s="238"/>
      <c r="F71" s="238"/>
      <c r="G71" s="238"/>
      <c r="H71" s="238"/>
      <c r="I71" s="238"/>
      <c r="J71" s="238"/>
      <c r="K71" s="240"/>
      <c r="L71" s="241"/>
      <c r="M71" s="240"/>
      <c r="N71" s="183"/>
    </row>
    <row r="72" spans="1:14" x14ac:dyDescent="0.15">
      <c r="A72" s="183"/>
      <c r="B72" s="184" t="s">
        <v>323</v>
      </c>
      <c r="C72" s="184"/>
      <c r="D72" s="183"/>
      <c r="E72" s="183"/>
      <c r="F72" s="183"/>
      <c r="G72" s="183"/>
      <c r="H72" s="183"/>
      <c r="I72" s="183"/>
      <c r="J72" s="183"/>
      <c r="K72" s="267"/>
      <c r="L72" s="183"/>
      <c r="M72" s="267"/>
      <c r="N72" s="183"/>
    </row>
    <row r="73" spans="1:14" x14ac:dyDescent="0.15">
      <c r="A73" s="183"/>
      <c r="B73" s="183"/>
      <c r="C73" s="183" t="s">
        <v>294</v>
      </c>
      <c r="D73" s="183"/>
      <c r="E73" s="269">
        <f t="shared" ref="E73:J73" si="32">VLOOKUP($B$1,Cost_Rates,2)</f>
        <v>0</v>
      </c>
      <c r="F73" s="269">
        <f t="shared" si="32"/>
        <v>0</v>
      </c>
      <c r="G73" s="269">
        <f t="shared" si="32"/>
        <v>0</v>
      </c>
      <c r="H73" s="269">
        <f t="shared" si="32"/>
        <v>0</v>
      </c>
      <c r="I73" s="269">
        <f t="shared" si="32"/>
        <v>0</v>
      </c>
      <c r="J73" s="269">
        <f t="shared" si="32"/>
        <v>0</v>
      </c>
      <c r="K73" s="267"/>
      <c r="L73" s="269">
        <f>VLOOKUP($B$1,Cost_Rates,2)</f>
        <v>0</v>
      </c>
      <c r="M73" s="267"/>
      <c r="N73" s="183"/>
    </row>
    <row r="74" spans="1:14" x14ac:dyDescent="0.15">
      <c r="A74" s="183"/>
      <c r="B74" s="183"/>
      <c r="C74" s="183" t="s">
        <v>65</v>
      </c>
      <c r="D74" s="183"/>
      <c r="E74" s="269">
        <f t="shared" ref="E74:J74" si="33">VLOOKUP($B$1,Cost_Rates,3)</f>
        <v>0</v>
      </c>
      <c r="F74" s="269">
        <f t="shared" si="33"/>
        <v>0</v>
      </c>
      <c r="G74" s="269">
        <f t="shared" si="33"/>
        <v>0</v>
      </c>
      <c r="H74" s="269">
        <f t="shared" si="33"/>
        <v>0</v>
      </c>
      <c r="I74" s="269">
        <f t="shared" si="33"/>
        <v>0</v>
      </c>
      <c r="J74" s="269">
        <f t="shared" si="33"/>
        <v>0</v>
      </c>
      <c r="K74" s="267"/>
      <c r="L74" s="269">
        <f>VLOOKUP($B$1,Cost_Rates,3)</f>
        <v>0</v>
      </c>
      <c r="M74" s="267"/>
      <c r="N74" s="183"/>
    </row>
    <row r="75" spans="1:14" x14ac:dyDescent="0.15">
      <c r="A75" s="183"/>
      <c r="B75" s="183"/>
      <c r="C75" s="183" t="s">
        <v>84</v>
      </c>
      <c r="D75" s="183"/>
      <c r="E75" s="269">
        <f t="shared" ref="E75:J75" si="34">VLOOKUP($B$1,Cost_Rates,4)</f>
        <v>0</v>
      </c>
      <c r="F75" s="269">
        <f t="shared" si="34"/>
        <v>0</v>
      </c>
      <c r="G75" s="269">
        <f t="shared" si="34"/>
        <v>0</v>
      </c>
      <c r="H75" s="269">
        <f t="shared" si="34"/>
        <v>0</v>
      </c>
      <c r="I75" s="269">
        <f t="shared" si="34"/>
        <v>0</v>
      </c>
      <c r="J75" s="269">
        <f t="shared" si="34"/>
        <v>0</v>
      </c>
      <c r="K75" s="267"/>
      <c r="L75" s="269">
        <f>VLOOKUP($B$1,Cost_Rates,4)</f>
        <v>0</v>
      </c>
      <c r="M75" s="267"/>
      <c r="N75" s="183"/>
    </row>
    <row r="76" spans="1:14" x14ac:dyDescent="0.15">
      <c r="A76" s="183"/>
      <c r="B76" s="183"/>
      <c r="C76" s="183" t="s">
        <v>143</v>
      </c>
      <c r="D76" s="183"/>
      <c r="E76" s="269">
        <f t="shared" ref="E76:J76" si="35">VLOOKUP($B$1,Cost_Rates,13)</f>
        <v>0</v>
      </c>
      <c r="F76" s="269">
        <f t="shared" si="35"/>
        <v>0</v>
      </c>
      <c r="G76" s="269">
        <f t="shared" si="35"/>
        <v>0</v>
      </c>
      <c r="H76" s="269">
        <f t="shared" si="35"/>
        <v>0</v>
      </c>
      <c r="I76" s="269">
        <f t="shared" si="35"/>
        <v>0</v>
      </c>
      <c r="J76" s="269">
        <f t="shared" si="35"/>
        <v>0</v>
      </c>
      <c r="K76" s="267"/>
      <c r="L76" s="269">
        <f>VLOOKUP($B$1,Cost_Rates,13)</f>
        <v>0</v>
      </c>
      <c r="M76" s="267"/>
      <c r="N76" s="183"/>
    </row>
    <row r="77" spans="1:14" x14ac:dyDescent="0.15">
      <c r="A77" s="183"/>
      <c r="B77" s="183"/>
      <c r="C77" s="183" t="s">
        <v>206</v>
      </c>
      <c r="D77" s="183"/>
      <c r="E77" s="269">
        <f t="shared" ref="E77:J77" si="36">VLOOKUP($B$1,Cost_Rates,14)</f>
        <v>0</v>
      </c>
      <c r="F77" s="269">
        <f t="shared" si="36"/>
        <v>0</v>
      </c>
      <c r="G77" s="269">
        <f t="shared" si="36"/>
        <v>0</v>
      </c>
      <c r="H77" s="269">
        <f t="shared" si="36"/>
        <v>0</v>
      </c>
      <c r="I77" s="269">
        <f t="shared" si="36"/>
        <v>0</v>
      </c>
      <c r="J77" s="269">
        <f t="shared" si="36"/>
        <v>0</v>
      </c>
      <c r="K77" s="267"/>
      <c r="L77" s="269">
        <f>VLOOKUP($B$1,Cost_Rates,14)</f>
        <v>0</v>
      </c>
      <c r="M77" s="267"/>
      <c r="N77" s="183"/>
    </row>
    <row r="78" spans="1:14" x14ac:dyDescent="0.15">
      <c r="A78" s="183"/>
      <c r="B78" s="183"/>
      <c r="C78" s="183" t="s">
        <v>295</v>
      </c>
      <c r="D78" s="183"/>
      <c r="E78" s="269">
        <f t="shared" ref="E78:J78" si="37">VLOOKUP($B$1,Cost_Rates,15)</f>
        <v>0</v>
      </c>
      <c r="F78" s="269">
        <f t="shared" si="37"/>
        <v>0</v>
      </c>
      <c r="G78" s="269">
        <f t="shared" si="37"/>
        <v>0</v>
      </c>
      <c r="H78" s="269">
        <f t="shared" si="37"/>
        <v>0</v>
      </c>
      <c r="I78" s="269">
        <f t="shared" si="37"/>
        <v>0</v>
      </c>
      <c r="J78" s="269">
        <f t="shared" si="37"/>
        <v>0</v>
      </c>
      <c r="K78" s="267"/>
      <c r="L78" s="269">
        <f>VLOOKUP($B$1,Cost_Rates,15)</f>
        <v>0</v>
      </c>
      <c r="M78" s="267"/>
      <c r="N78" s="183"/>
    </row>
    <row r="79" spans="1:14" x14ac:dyDescent="0.15">
      <c r="A79" s="183"/>
      <c r="B79" s="183"/>
      <c r="C79" s="183" t="s">
        <v>69</v>
      </c>
      <c r="D79" s="183"/>
      <c r="E79" s="269">
        <f t="shared" ref="E79:J79" si="38">VLOOKUP($B$1,Cost_Rates,8)</f>
        <v>0</v>
      </c>
      <c r="F79" s="269">
        <f t="shared" si="38"/>
        <v>0</v>
      </c>
      <c r="G79" s="269">
        <f t="shared" si="38"/>
        <v>0</v>
      </c>
      <c r="H79" s="269">
        <f t="shared" si="38"/>
        <v>0</v>
      </c>
      <c r="I79" s="269">
        <f t="shared" si="38"/>
        <v>0</v>
      </c>
      <c r="J79" s="269">
        <f t="shared" si="38"/>
        <v>0</v>
      </c>
      <c r="K79" s="267"/>
      <c r="L79" s="269">
        <f>VLOOKUP($B$1,Cost_Rates,8)</f>
        <v>0</v>
      </c>
      <c r="M79" s="267"/>
      <c r="N79" s="183"/>
    </row>
    <row r="80" spans="1:14" x14ac:dyDescent="0.15">
      <c r="A80" s="183"/>
      <c r="B80" s="183"/>
      <c r="C80" s="183" t="s">
        <v>256</v>
      </c>
      <c r="D80" s="183"/>
      <c r="E80" s="269">
        <f t="shared" ref="E80:J80" si="39">VLOOKUP($B$1,Cost_Rates,9)</f>
        <v>0</v>
      </c>
      <c r="F80" s="269">
        <f t="shared" si="39"/>
        <v>0</v>
      </c>
      <c r="G80" s="269">
        <f t="shared" si="39"/>
        <v>0</v>
      </c>
      <c r="H80" s="269">
        <f t="shared" si="39"/>
        <v>0</v>
      </c>
      <c r="I80" s="269">
        <f t="shared" si="39"/>
        <v>0</v>
      </c>
      <c r="J80" s="269">
        <f t="shared" si="39"/>
        <v>0</v>
      </c>
      <c r="K80" s="267"/>
      <c r="L80" s="269">
        <f>VLOOKUP($B$1,Cost_Rates,9)</f>
        <v>0</v>
      </c>
      <c r="M80" s="267"/>
      <c r="N80" s="183"/>
    </row>
    <row r="81" spans="1:14" ht="6" customHeight="1" x14ac:dyDescent="0.15">
      <c r="A81" s="183"/>
      <c r="B81" s="184"/>
      <c r="C81" s="184"/>
      <c r="D81" s="183"/>
      <c r="E81" s="238"/>
      <c r="F81" s="238"/>
      <c r="G81" s="238"/>
      <c r="H81" s="238"/>
      <c r="I81" s="238"/>
      <c r="J81" s="238"/>
      <c r="K81" s="240"/>
      <c r="L81" s="241"/>
      <c r="M81" s="240"/>
      <c r="N81" s="183"/>
    </row>
    <row r="82" spans="1:14" x14ac:dyDescent="0.15">
      <c r="A82" s="183"/>
      <c r="B82" s="184" t="s">
        <v>360</v>
      </c>
      <c r="C82" s="183"/>
      <c r="D82" s="183"/>
      <c r="E82" s="280"/>
      <c r="F82" s="183"/>
      <c r="G82" s="183"/>
      <c r="H82" s="183"/>
      <c r="I82" s="183"/>
      <c r="J82" s="183"/>
      <c r="K82" s="267"/>
      <c r="L82" s="183"/>
      <c r="M82" s="267"/>
      <c r="N82" s="183"/>
    </row>
    <row r="83" spans="1:14" x14ac:dyDescent="0.15">
      <c r="A83" s="183"/>
      <c r="B83" s="183"/>
      <c r="C83" s="183" t="s">
        <v>294</v>
      </c>
      <c r="D83" s="183"/>
      <c r="E83" s="270">
        <f t="shared" ref="E83:J90" si="40">E23*E73</f>
        <v>0</v>
      </c>
      <c r="F83" s="270">
        <f t="shared" si="40"/>
        <v>0</v>
      </c>
      <c r="G83" s="270">
        <f t="shared" si="40"/>
        <v>0</v>
      </c>
      <c r="H83" s="270">
        <f t="shared" si="40"/>
        <v>0</v>
      </c>
      <c r="I83" s="270">
        <f t="shared" si="40"/>
        <v>0</v>
      </c>
      <c r="J83" s="270">
        <f t="shared" si="40"/>
        <v>0</v>
      </c>
      <c r="K83" s="271">
        <f t="shared" ref="K83:K91" si="41">SUM(E83:J83)</f>
        <v>0</v>
      </c>
      <c r="L83" s="270">
        <f t="shared" ref="L83:L90" si="42">L23*L73</f>
        <v>0</v>
      </c>
      <c r="M83" s="341">
        <f t="shared" ref="M83:M91" si="43">SUM(K83:L83)</f>
        <v>0</v>
      </c>
      <c r="N83" s="183"/>
    </row>
    <row r="84" spans="1:14" x14ac:dyDescent="0.15">
      <c r="A84" s="183"/>
      <c r="B84" s="183"/>
      <c r="C84" s="183" t="s">
        <v>65</v>
      </c>
      <c r="D84" s="183"/>
      <c r="E84" s="270">
        <f t="shared" si="40"/>
        <v>0</v>
      </c>
      <c r="F84" s="270">
        <f t="shared" si="40"/>
        <v>0</v>
      </c>
      <c r="G84" s="270">
        <f t="shared" si="40"/>
        <v>0</v>
      </c>
      <c r="H84" s="270">
        <f t="shared" si="40"/>
        <v>0</v>
      </c>
      <c r="I84" s="270">
        <f t="shared" si="40"/>
        <v>0</v>
      </c>
      <c r="J84" s="270">
        <f t="shared" si="40"/>
        <v>0</v>
      </c>
      <c r="K84" s="271">
        <f t="shared" si="41"/>
        <v>0</v>
      </c>
      <c r="L84" s="270">
        <f t="shared" si="42"/>
        <v>0</v>
      </c>
      <c r="M84" s="341">
        <f t="shared" si="43"/>
        <v>0</v>
      </c>
      <c r="N84" s="183"/>
    </row>
    <row r="85" spans="1:14" x14ac:dyDescent="0.15">
      <c r="A85" s="183"/>
      <c r="B85" s="183"/>
      <c r="C85" s="183" t="s">
        <v>84</v>
      </c>
      <c r="D85" s="183"/>
      <c r="E85" s="270">
        <f t="shared" si="40"/>
        <v>0</v>
      </c>
      <c r="F85" s="270">
        <f t="shared" si="40"/>
        <v>0</v>
      </c>
      <c r="G85" s="270">
        <f t="shared" si="40"/>
        <v>0</v>
      </c>
      <c r="H85" s="270">
        <f t="shared" si="40"/>
        <v>0</v>
      </c>
      <c r="I85" s="270">
        <f t="shared" si="40"/>
        <v>0</v>
      </c>
      <c r="J85" s="270">
        <f t="shared" si="40"/>
        <v>0</v>
      </c>
      <c r="K85" s="271">
        <f t="shared" si="41"/>
        <v>0</v>
      </c>
      <c r="L85" s="270">
        <f t="shared" si="42"/>
        <v>0</v>
      </c>
      <c r="M85" s="341">
        <f t="shared" si="43"/>
        <v>0</v>
      </c>
      <c r="N85" s="183"/>
    </row>
    <row r="86" spans="1:14" x14ac:dyDescent="0.15">
      <c r="A86" s="183"/>
      <c r="B86" s="183"/>
      <c r="C86" s="183" t="s">
        <v>143</v>
      </c>
      <c r="D86" s="183"/>
      <c r="E86" s="270">
        <f t="shared" si="40"/>
        <v>0</v>
      </c>
      <c r="F86" s="270">
        <f t="shared" si="40"/>
        <v>0</v>
      </c>
      <c r="G86" s="270">
        <f t="shared" si="40"/>
        <v>0</v>
      </c>
      <c r="H86" s="270">
        <f t="shared" si="40"/>
        <v>0</v>
      </c>
      <c r="I86" s="270">
        <f t="shared" si="40"/>
        <v>0</v>
      </c>
      <c r="J86" s="270">
        <f t="shared" si="40"/>
        <v>0</v>
      </c>
      <c r="K86" s="271">
        <f t="shared" si="41"/>
        <v>0</v>
      </c>
      <c r="L86" s="270">
        <f t="shared" si="42"/>
        <v>0</v>
      </c>
      <c r="M86" s="341">
        <f t="shared" si="43"/>
        <v>0</v>
      </c>
      <c r="N86" s="183"/>
    </row>
    <row r="87" spans="1:14" x14ac:dyDescent="0.15">
      <c r="A87" s="183"/>
      <c r="B87" s="183"/>
      <c r="C87" s="183" t="s">
        <v>206</v>
      </c>
      <c r="D87" s="183"/>
      <c r="E87" s="270">
        <f t="shared" si="40"/>
        <v>0</v>
      </c>
      <c r="F87" s="270">
        <f t="shared" si="40"/>
        <v>0</v>
      </c>
      <c r="G87" s="270">
        <f t="shared" si="40"/>
        <v>0</v>
      </c>
      <c r="H87" s="270">
        <f t="shared" si="40"/>
        <v>0</v>
      </c>
      <c r="I87" s="270">
        <f t="shared" si="40"/>
        <v>0</v>
      </c>
      <c r="J87" s="270">
        <f t="shared" si="40"/>
        <v>0</v>
      </c>
      <c r="K87" s="271">
        <f t="shared" si="41"/>
        <v>0</v>
      </c>
      <c r="L87" s="270">
        <f t="shared" si="42"/>
        <v>0</v>
      </c>
      <c r="M87" s="341">
        <f t="shared" si="43"/>
        <v>0</v>
      </c>
      <c r="N87" s="183"/>
    </row>
    <row r="88" spans="1:14" x14ac:dyDescent="0.15">
      <c r="A88" s="183"/>
      <c r="B88" s="183"/>
      <c r="C88" s="183" t="s">
        <v>295</v>
      </c>
      <c r="D88" s="183"/>
      <c r="E88" s="270">
        <f t="shared" si="40"/>
        <v>0</v>
      </c>
      <c r="F88" s="270">
        <f t="shared" si="40"/>
        <v>0</v>
      </c>
      <c r="G88" s="270">
        <f t="shared" si="40"/>
        <v>0</v>
      </c>
      <c r="H88" s="270">
        <f t="shared" si="40"/>
        <v>0</v>
      </c>
      <c r="I88" s="270">
        <f t="shared" si="40"/>
        <v>0</v>
      </c>
      <c r="J88" s="270">
        <f t="shared" si="40"/>
        <v>0</v>
      </c>
      <c r="K88" s="271">
        <f t="shared" si="41"/>
        <v>0</v>
      </c>
      <c r="L88" s="270">
        <f t="shared" si="42"/>
        <v>0</v>
      </c>
      <c r="M88" s="341">
        <f t="shared" si="43"/>
        <v>0</v>
      </c>
      <c r="N88" s="183"/>
    </row>
    <row r="89" spans="1:14" x14ac:dyDescent="0.15">
      <c r="A89" s="183"/>
      <c r="B89" s="183"/>
      <c r="C89" s="183" t="s">
        <v>69</v>
      </c>
      <c r="D89" s="183"/>
      <c r="E89" s="270">
        <f t="shared" si="40"/>
        <v>0</v>
      </c>
      <c r="F89" s="270">
        <f t="shared" si="40"/>
        <v>0</v>
      </c>
      <c r="G89" s="270">
        <f t="shared" si="40"/>
        <v>0</v>
      </c>
      <c r="H89" s="270">
        <f t="shared" si="40"/>
        <v>0</v>
      </c>
      <c r="I89" s="270">
        <f t="shared" si="40"/>
        <v>0</v>
      </c>
      <c r="J89" s="270">
        <f t="shared" si="40"/>
        <v>0</v>
      </c>
      <c r="K89" s="271">
        <f t="shared" si="41"/>
        <v>0</v>
      </c>
      <c r="L89" s="270">
        <f t="shared" si="42"/>
        <v>0</v>
      </c>
      <c r="M89" s="341">
        <f t="shared" si="43"/>
        <v>0</v>
      </c>
      <c r="N89" s="183"/>
    </row>
    <row r="90" spans="1:14" x14ac:dyDescent="0.15">
      <c r="A90" s="183"/>
      <c r="B90" s="183"/>
      <c r="C90" s="183" t="s">
        <v>256</v>
      </c>
      <c r="D90" s="183"/>
      <c r="E90" s="270">
        <f t="shared" si="40"/>
        <v>0</v>
      </c>
      <c r="F90" s="270">
        <f t="shared" si="40"/>
        <v>0</v>
      </c>
      <c r="G90" s="270">
        <f t="shared" si="40"/>
        <v>0</v>
      </c>
      <c r="H90" s="270">
        <f t="shared" si="40"/>
        <v>0</v>
      </c>
      <c r="I90" s="270">
        <f t="shared" si="40"/>
        <v>0</v>
      </c>
      <c r="J90" s="270">
        <f t="shared" si="40"/>
        <v>0</v>
      </c>
      <c r="K90" s="271">
        <f t="shared" si="41"/>
        <v>0</v>
      </c>
      <c r="L90" s="270">
        <f t="shared" si="42"/>
        <v>0</v>
      </c>
      <c r="M90" s="341">
        <f t="shared" si="43"/>
        <v>0</v>
      </c>
      <c r="N90" s="183"/>
    </row>
    <row r="91" spans="1:14" x14ac:dyDescent="0.15">
      <c r="A91" s="183"/>
      <c r="B91" s="219" t="s">
        <v>354</v>
      </c>
      <c r="C91" s="281"/>
      <c r="D91" s="281"/>
      <c r="E91" s="282">
        <f t="shared" ref="E91:J91" si="44">SUM(E83:E90)</f>
        <v>0</v>
      </c>
      <c r="F91" s="282">
        <f t="shared" si="44"/>
        <v>0</v>
      </c>
      <c r="G91" s="282">
        <f t="shared" si="44"/>
        <v>0</v>
      </c>
      <c r="H91" s="282">
        <f t="shared" si="44"/>
        <v>0</v>
      </c>
      <c r="I91" s="282">
        <f t="shared" si="44"/>
        <v>0</v>
      </c>
      <c r="J91" s="282">
        <f t="shared" si="44"/>
        <v>0</v>
      </c>
      <c r="K91" s="283">
        <f t="shared" si="41"/>
        <v>0</v>
      </c>
      <c r="L91" s="282">
        <f>SUM(L83:L90)</f>
        <v>0</v>
      </c>
      <c r="M91" s="343">
        <f t="shared" si="43"/>
        <v>0</v>
      </c>
      <c r="N91" s="183"/>
    </row>
    <row r="92" spans="1:14" ht="6" customHeight="1" x14ac:dyDescent="0.15">
      <c r="A92" s="183"/>
      <c r="B92" s="184"/>
      <c r="C92" s="184"/>
      <c r="D92" s="237"/>
      <c r="E92" s="238"/>
      <c r="F92" s="238"/>
      <c r="G92" s="238"/>
      <c r="H92" s="238"/>
      <c r="I92" s="238"/>
      <c r="J92" s="238"/>
      <c r="K92" s="240"/>
      <c r="L92" s="241"/>
      <c r="M92" s="240"/>
      <c r="N92" s="183"/>
    </row>
    <row r="93" spans="1:14" ht="14" thickBot="1" x14ac:dyDescent="0.2">
      <c r="A93" s="183"/>
      <c r="B93" s="184" t="s">
        <v>324</v>
      </c>
      <c r="C93" s="237"/>
      <c r="D93" s="237"/>
      <c r="E93" s="215">
        <f t="shared" ref="E93:M93" si="45">E69-E91</f>
        <v>0</v>
      </c>
      <c r="F93" s="215">
        <f t="shared" si="45"/>
        <v>0</v>
      </c>
      <c r="G93" s="215">
        <f t="shared" si="45"/>
        <v>0</v>
      </c>
      <c r="H93" s="215">
        <f t="shared" si="45"/>
        <v>0</v>
      </c>
      <c r="I93" s="215">
        <f t="shared" si="45"/>
        <v>0</v>
      </c>
      <c r="J93" s="215">
        <f t="shared" si="45"/>
        <v>0</v>
      </c>
      <c r="K93" s="284">
        <f t="shared" si="45"/>
        <v>0</v>
      </c>
      <c r="L93" s="215">
        <f t="shared" si="45"/>
        <v>0</v>
      </c>
      <c r="M93" s="284">
        <f t="shared" si="45"/>
        <v>0</v>
      </c>
      <c r="N93" s="183"/>
    </row>
    <row r="94" spans="1:14" ht="14" thickTop="1" x14ac:dyDescent="0.15">
      <c r="A94" s="183"/>
      <c r="B94" s="184" t="s">
        <v>325</v>
      </c>
      <c r="C94" s="237"/>
      <c r="D94" s="237"/>
      <c r="E94" s="285" t="str">
        <f t="shared" ref="E94:M94" si="46">IF(E69=0,"",E93/E69)</f>
        <v/>
      </c>
      <c r="F94" s="285" t="str">
        <f t="shared" si="46"/>
        <v/>
      </c>
      <c r="G94" s="285" t="str">
        <f t="shared" si="46"/>
        <v/>
      </c>
      <c r="H94" s="285" t="str">
        <f t="shared" si="46"/>
        <v/>
      </c>
      <c r="I94" s="285" t="str">
        <f t="shared" si="46"/>
        <v/>
      </c>
      <c r="J94" s="285" t="str">
        <f t="shared" si="46"/>
        <v/>
      </c>
      <c r="K94" s="286" t="str">
        <f t="shared" si="46"/>
        <v/>
      </c>
      <c r="L94" s="285" t="str">
        <f t="shared" si="46"/>
        <v/>
      </c>
      <c r="M94" s="286" t="str">
        <f t="shared" si="46"/>
        <v/>
      </c>
      <c r="N94" s="183"/>
    </row>
    <row r="95" spans="1:14" ht="6" customHeight="1" x14ac:dyDescent="0.15">
      <c r="A95" s="183"/>
      <c r="B95" s="263"/>
      <c r="C95" s="263"/>
      <c r="D95" s="204"/>
      <c r="E95" s="264"/>
      <c r="F95" s="264"/>
      <c r="G95" s="264"/>
      <c r="H95" s="264"/>
      <c r="I95" s="264"/>
      <c r="J95" s="264"/>
      <c r="K95" s="265"/>
      <c r="L95" s="266"/>
      <c r="M95" s="265"/>
      <c r="N95" s="183"/>
    </row>
    <row r="96" spans="1:14" x14ac:dyDescent="0.15">
      <c r="A96" s="183"/>
      <c r="B96" s="218" t="s">
        <v>326</v>
      </c>
      <c r="C96" s="274"/>
      <c r="D96" s="183"/>
      <c r="E96" s="287">
        <f t="shared" ref="E96:M96" si="47">E69</f>
        <v>0</v>
      </c>
      <c r="F96" s="287">
        <f t="shared" si="47"/>
        <v>0</v>
      </c>
      <c r="G96" s="287">
        <f t="shared" si="47"/>
        <v>0</v>
      </c>
      <c r="H96" s="287">
        <f t="shared" si="47"/>
        <v>0</v>
      </c>
      <c r="I96" s="287">
        <f t="shared" si="47"/>
        <v>0</v>
      </c>
      <c r="J96" s="287">
        <f t="shared" si="47"/>
        <v>0</v>
      </c>
      <c r="K96" s="288">
        <f t="shared" si="47"/>
        <v>0</v>
      </c>
      <c r="L96" s="287">
        <f t="shared" si="47"/>
        <v>0</v>
      </c>
      <c r="M96" s="288">
        <f t="shared" si="47"/>
        <v>0</v>
      </c>
      <c r="N96" s="183"/>
    </row>
    <row r="97" spans="1:14" x14ac:dyDescent="0.15">
      <c r="A97" s="183"/>
      <c r="B97" s="274"/>
      <c r="C97" s="218" t="s">
        <v>293</v>
      </c>
      <c r="D97" s="183"/>
      <c r="E97" s="289" t="str">
        <f t="shared" ref="E97:M97" si="48">E70</f>
        <v/>
      </c>
      <c r="F97" s="289" t="str">
        <f t="shared" si="48"/>
        <v/>
      </c>
      <c r="G97" s="289" t="str">
        <f t="shared" si="48"/>
        <v/>
      </c>
      <c r="H97" s="289" t="str">
        <f t="shared" si="48"/>
        <v/>
      </c>
      <c r="I97" s="289" t="str">
        <f t="shared" si="48"/>
        <v/>
      </c>
      <c r="J97" s="289" t="str">
        <f t="shared" si="48"/>
        <v/>
      </c>
      <c r="K97" s="290" t="str">
        <f t="shared" si="48"/>
        <v/>
      </c>
      <c r="L97" s="289" t="str">
        <f t="shared" si="48"/>
        <v/>
      </c>
      <c r="M97" s="290" t="str">
        <f t="shared" si="48"/>
        <v/>
      </c>
      <c r="N97" s="183"/>
    </row>
    <row r="98" spans="1:14" ht="6" customHeight="1" x14ac:dyDescent="0.15">
      <c r="A98" s="183"/>
      <c r="B98" s="184"/>
      <c r="C98" s="184"/>
      <c r="D98" s="183"/>
      <c r="E98" s="238"/>
      <c r="F98" s="238"/>
      <c r="G98" s="238"/>
      <c r="H98" s="238"/>
      <c r="I98" s="238"/>
      <c r="J98" s="238"/>
      <c r="K98" s="240"/>
      <c r="L98" s="241"/>
      <c r="M98" s="240"/>
      <c r="N98" s="183"/>
    </row>
    <row r="99" spans="1:14" x14ac:dyDescent="0.15">
      <c r="A99" s="183"/>
      <c r="B99" s="219" t="s">
        <v>357</v>
      </c>
      <c r="C99" s="281"/>
      <c r="D99" s="281"/>
      <c r="E99" s="291">
        <f t="shared" ref="E99:M99" si="49">E91</f>
        <v>0</v>
      </c>
      <c r="F99" s="291">
        <f t="shared" si="49"/>
        <v>0</v>
      </c>
      <c r="G99" s="291">
        <f t="shared" si="49"/>
        <v>0</v>
      </c>
      <c r="H99" s="291">
        <f t="shared" si="49"/>
        <v>0</v>
      </c>
      <c r="I99" s="291">
        <f t="shared" si="49"/>
        <v>0</v>
      </c>
      <c r="J99" s="291">
        <f t="shared" si="49"/>
        <v>0</v>
      </c>
      <c r="K99" s="292">
        <f t="shared" si="49"/>
        <v>0</v>
      </c>
      <c r="L99" s="291">
        <f t="shared" si="49"/>
        <v>0</v>
      </c>
      <c r="M99" s="292">
        <f t="shared" si="49"/>
        <v>0</v>
      </c>
      <c r="N99" s="183"/>
    </row>
    <row r="100" spans="1:14" ht="6" customHeight="1" x14ac:dyDescent="0.15">
      <c r="A100" s="183"/>
      <c r="B100" s="184"/>
      <c r="C100" s="184"/>
      <c r="D100" s="183"/>
      <c r="E100" s="238"/>
      <c r="F100" s="238"/>
      <c r="G100" s="238"/>
      <c r="H100" s="238"/>
      <c r="I100" s="238"/>
      <c r="J100" s="238"/>
      <c r="K100" s="240"/>
      <c r="L100" s="241"/>
      <c r="M100" s="240"/>
      <c r="N100" s="183"/>
    </row>
    <row r="101" spans="1:14" ht="14" thickBot="1" x14ac:dyDescent="0.2">
      <c r="A101" s="183"/>
      <c r="B101" s="184" t="s">
        <v>355</v>
      </c>
      <c r="C101" s="237"/>
      <c r="D101" s="237"/>
      <c r="E101" s="215">
        <f t="shared" ref="E101:M101" si="50">E93</f>
        <v>0</v>
      </c>
      <c r="F101" s="215">
        <f t="shared" si="50"/>
        <v>0</v>
      </c>
      <c r="G101" s="215">
        <f t="shared" si="50"/>
        <v>0</v>
      </c>
      <c r="H101" s="215">
        <f t="shared" si="50"/>
        <v>0</v>
      </c>
      <c r="I101" s="215">
        <f t="shared" si="50"/>
        <v>0</v>
      </c>
      <c r="J101" s="215">
        <f t="shared" si="50"/>
        <v>0</v>
      </c>
      <c r="K101" s="293">
        <f t="shared" si="50"/>
        <v>0</v>
      </c>
      <c r="L101" s="215">
        <f t="shared" si="50"/>
        <v>0</v>
      </c>
      <c r="M101" s="293">
        <f t="shared" si="50"/>
        <v>0</v>
      </c>
      <c r="N101" s="183"/>
    </row>
    <row r="102" spans="1:14" ht="14" thickTop="1" x14ac:dyDescent="0.15">
      <c r="A102" s="183"/>
      <c r="B102" s="184" t="s">
        <v>356</v>
      </c>
      <c r="C102" s="237"/>
      <c r="D102" s="237"/>
      <c r="E102" s="285" t="str">
        <f t="shared" ref="E102:M102" si="51">IF(E96=0,"",E101/E96)</f>
        <v/>
      </c>
      <c r="F102" s="285" t="str">
        <f t="shared" si="51"/>
        <v/>
      </c>
      <c r="G102" s="285" t="str">
        <f t="shared" si="51"/>
        <v/>
      </c>
      <c r="H102" s="285" t="str">
        <f t="shared" si="51"/>
        <v/>
      </c>
      <c r="I102" s="285" t="str">
        <f t="shared" si="51"/>
        <v/>
      </c>
      <c r="J102" s="285" t="str">
        <f t="shared" si="51"/>
        <v/>
      </c>
      <c r="K102" s="286" t="str">
        <f t="shared" si="51"/>
        <v/>
      </c>
      <c r="L102" s="285" t="str">
        <f t="shared" si="51"/>
        <v/>
      </c>
      <c r="M102" s="286" t="str">
        <f t="shared" si="51"/>
        <v/>
      </c>
      <c r="N102" s="183"/>
    </row>
  </sheetData>
  <mergeCells count="1">
    <mergeCell ref="E3:M3"/>
  </mergeCells>
  <phoneticPr fontId="2" type="noConversion"/>
  <pageMargins left="0.75" right="0.75" top="0.5" bottom="0.5" header="0.5" footer="0.5"/>
  <pageSetup paperSize="3" scale="92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T45"/>
  <sheetViews>
    <sheetView workbookViewId="0">
      <pane xSplit="5" ySplit="12" topLeftCell="F13" activePane="bottomRight" state="frozen"/>
      <selection activeCell="Y88" sqref="Y88"/>
      <selection pane="topRight" activeCell="Y88" sqref="Y88"/>
      <selection pane="bottomLeft" activeCell="Y88" sqref="Y88"/>
      <selection pane="bottomRight" activeCell="Y88" sqref="Y88"/>
    </sheetView>
  </sheetViews>
  <sheetFormatPr baseColWidth="10" defaultColWidth="8.83203125" defaultRowHeight="13" x14ac:dyDescent="0.15"/>
  <cols>
    <col min="1" max="1" customWidth="true" style="109" width="3.6640625" collapsed="true"/>
    <col min="2" max="2" customWidth="true" style="109" width="7.6640625" collapsed="true"/>
    <col min="3" max="3" customWidth="true" style="109" width="9.6640625" collapsed="true"/>
    <col min="4" max="4" customWidth="true" style="109" width="44.6640625" collapsed="true"/>
    <col min="5" max="6" customWidth="true" style="109" width="9.6640625" collapsed="true"/>
    <col min="7" max="14" customWidth="true" style="109" width="10.6640625" collapsed="true"/>
    <col min="15" max="15" customWidth="true" style="109" width="11.6640625" collapsed="true"/>
    <col min="16" max="20" customWidth="true" style="109" width="10.6640625" collapsed="true"/>
    <col min="21" max="16384" style="109" width="8.83203125" collapsed="true"/>
  </cols>
  <sheetData>
    <row r="1" spans="1:20" ht="18" x14ac:dyDescent="0.2">
      <c r="A1" s="108" t="s">
        <v>39</v>
      </c>
    </row>
    <row r="2" spans="1:20" ht="18" x14ac:dyDescent="0.2">
      <c r="A2" s="108" t="s">
        <v>71</v>
      </c>
    </row>
    <row r="4" spans="1:20" ht="14" x14ac:dyDescent="0.15">
      <c r="B4" s="132" t="s">
        <v>263</v>
      </c>
      <c r="C4" s="132"/>
      <c r="E4" s="382" t="str">
        <f>IF('Input Specification and Output'!D20="","",'Input Specification and Output'!D20)</f>
        <v/>
      </c>
    </row>
    <row r="5" spans="1:20" ht="14" x14ac:dyDescent="0.15">
      <c r="B5" s="132" t="s">
        <v>264</v>
      </c>
      <c r="C5" s="132"/>
      <c r="E5" s="381" t="str">
        <f>IF('Input Specification and Output'!D21="","",'Input Specification and Output'!D21)</f>
        <v/>
      </c>
    </row>
    <row r="6" spans="1:20" ht="14" x14ac:dyDescent="0.15">
      <c r="B6" s="132" t="s">
        <v>231</v>
      </c>
      <c r="C6" s="132"/>
      <c r="E6" s="133"/>
    </row>
    <row r="7" spans="1:20" ht="14" x14ac:dyDescent="0.15">
      <c r="B7" s="132" t="s">
        <v>81</v>
      </c>
      <c r="C7" s="132"/>
      <c r="E7" s="134">
        <f>'Input Specification and Output'!D22</f>
        <v>0</v>
      </c>
    </row>
    <row r="8" spans="1:20" ht="14" x14ac:dyDescent="0.15">
      <c r="B8" s="135" t="s">
        <v>83</v>
      </c>
      <c r="C8" s="132"/>
    </row>
    <row r="9" spans="1:20" x14ac:dyDescent="0.15">
      <c r="D9" s="136">
        <f>'Input Specification and Output'!D24</f>
        <v>0</v>
      </c>
    </row>
    <row r="10" spans="1:20" ht="15" thickBot="1" x14ac:dyDescent="0.2">
      <c r="B10" s="132"/>
    </row>
    <row r="11" spans="1:20" ht="42" customHeight="1" thickBot="1" x14ac:dyDescent="0.2">
      <c r="G11" s="572" t="s">
        <v>230</v>
      </c>
      <c r="H11" s="573"/>
      <c r="I11" s="574" t="s">
        <v>229</v>
      </c>
      <c r="J11" s="575"/>
      <c r="K11" s="575"/>
      <c r="L11" s="576"/>
      <c r="M11" s="137"/>
      <c r="N11" s="577" t="s">
        <v>242</v>
      </c>
      <c r="O11" s="578"/>
      <c r="P11" s="579"/>
      <c r="Q11" s="572" t="s">
        <v>112</v>
      </c>
      <c r="R11" s="580"/>
      <c r="S11" s="573"/>
      <c r="T11" s="137"/>
    </row>
    <row r="12" spans="1:20" ht="66" thickBot="1" x14ac:dyDescent="0.2">
      <c r="B12" s="138" t="s">
        <v>40</v>
      </c>
      <c r="C12" s="138" t="s">
        <v>110</v>
      </c>
      <c r="D12" s="138" t="s">
        <v>109</v>
      </c>
      <c r="E12" s="138" t="s">
        <v>38</v>
      </c>
      <c r="F12" s="138" t="s">
        <v>139</v>
      </c>
      <c r="G12" s="139" t="s">
        <v>234</v>
      </c>
      <c r="H12" s="139" t="s">
        <v>235</v>
      </c>
      <c r="I12" s="138" t="s">
        <v>246</v>
      </c>
      <c r="J12" s="138" t="s">
        <v>237</v>
      </c>
      <c r="K12" s="140" t="s">
        <v>233</v>
      </c>
      <c r="L12" s="138" t="s">
        <v>236</v>
      </c>
      <c r="M12" s="139" t="s">
        <v>238</v>
      </c>
      <c r="N12" s="139" t="s">
        <v>239</v>
      </c>
      <c r="O12" s="141" t="s">
        <v>240</v>
      </c>
      <c r="P12" s="140" t="s">
        <v>241</v>
      </c>
      <c r="Q12" s="139" t="s">
        <v>108</v>
      </c>
      <c r="R12" s="140" t="s">
        <v>371</v>
      </c>
      <c r="S12" s="138" t="s">
        <v>232</v>
      </c>
      <c r="T12" s="139" t="s">
        <v>227</v>
      </c>
    </row>
    <row r="13" spans="1:20" x14ac:dyDescent="0.15">
      <c r="B13" s="112">
        <v>1</v>
      </c>
      <c r="C13" s="142" t="s">
        <v>86</v>
      </c>
      <c r="D13" s="143" t="str">
        <f>IF('Input Specification and Output'!C30="","",'Input Specification and Output'!C30)</f>
        <v/>
      </c>
      <c r="E13" s="144">
        <f>Typical_1_Qty</f>
        <v>0</v>
      </c>
      <c r="F13" s="145">
        <f>'System Typicals @ Industry Std'!T20</f>
        <v>0</v>
      </c>
      <c r="G13" s="146">
        <f>IF($D13="",0,IF(Site_Delivery_Systems="Y",0,IF(Site_Delivery_Systems="N",'System Typicals @ Industry Std'!M20,0)))</f>
        <v>0</v>
      </c>
      <c r="H13" s="146">
        <f>IF($D13="",0,IF(Site_Delivery_Systems="Y",0,IF(Site_Delivery_Systems="N",'System Typicals @ Industry Std'!N20,0)))</f>
        <v>0</v>
      </c>
      <c r="I13" s="146">
        <f>IF(Site_Delivery_Systems="",0,IF(Site_Delivery_Systems="Y",0,IF(E13&lt;&gt;0,'System Typicals @ Industry Std'!U20,0)))</f>
        <v>0</v>
      </c>
      <c r="J13" s="147">
        <f t="shared" ref="J13:J18" si="0">IF(I13="",0,IF($E$7&lt;&gt;0,(I13*($E$7/35)*2),0))</f>
        <v>0</v>
      </c>
      <c r="K13" s="146">
        <f t="shared" ref="K13:K18" si="1">J13</f>
        <v>0</v>
      </c>
      <c r="L13" s="146">
        <f t="shared" ref="L13:L18" si="2">IF(Site_Delivery_Systems="Y",0,IF(Site_Delivery_Systems="N",H13/3+J13+M13,0))</f>
        <v>0</v>
      </c>
      <c r="M13" s="146">
        <f>'System Typicals @ Industry Std'!O20</f>
        <v>0</v>
      </c>
      <c r="N13" s="147">
        <f>'System Typicals @ Industry Std'!P20</f>
        <v>0</v>
      </c>
      <c r="O13" s="148">
        <f t="shared" ref="O13:O18" si="3">IF($D13="",0,IF($D$9="",1,VLOOKUP($D$9,Site_Move_Stage_Factors,2)))</f>
        <v>0</v>
      </c>
      <c r="P13" s="146">
        <f t="shared" ref="P13:P18" si="4">N13*O13</f>
        <v>0</v>
      </c>
      <c r="Q13" s="147">
        <f>'System Typicals @ Industry Std'!Q20</f>
        <v>0</v>
      </c>
      <c r="R13" s="232">
        <f>IF($D13="",0,VLOOKUP(D13,System_Line_Correction_Factors,VLOOKUP('Input Specification and Output'!$D$3,ROC_CF_Lookup,2)))</f>
        <v>0</v>
      </c>
      <c r="S13" s="146">
        <f>IF($D13="",0,'System Typicals @ Industry Std'!Q20+'System Typicals @ Industry Std'!R20)*R13</f>
        <v>0</v>
      </c>
      <c r="T13" s="146">
        <f>'System Typicals @ Industry Std'!R20</f>
        <v>0</v>
      </c>
    </row>
    <row r="14" spans="1:20" x14ac:dyDescent="0.15">
      <c r="B14" s="112">
        <v>2</v>
      </c>
      <c r="C14" s="142" t="s">
        <v>87</v>
      </c>
      <c r="D14" s="143" t="str">
        <f>IF('Input Specification and Output'!C31="","",'Input Specification and Output'!C31)</f>
        <v/>
      </c>
      <c r="E14" s="144">
        <f>Typical_2_Qty</f>
        <v>0</v>
      </c>
      <c r="F14" s="145">
        <f>'System Typicals @ Industry Std'!T38</f>
        <v>0</v>
      </c>
      <c r="G14" s="146">
        <f>IF($D14="",0,IF(Site_Delivery_Systems="Y",0,IF(Site_Delivery_Systems="N",'System Typicals @ Industry Std'!M38,0)))</f>
        <v>0</v>
      </c>
      <c r="H14" s="146">
        <f>IF($D14="",0,IF(Site_Delivery_Systems="Y",0,IF(Site_Delivery_Systems="N",'System Typicals @ Industry Std'!N38,0)))</f>
        <v>0</v>
      </c>
      <c r="I14" s="146">
        <f>IF(Site_Delivery_Systems="",0,IF(Site_Delivery_Systems="Y",0,IF(E14&lt;&gt;0,'System Typicals @ Industry Std'!U38,0)))</f>
        <v>0</v>
      </c>
      <c r="J14" s="147">
        <f t="shared" si="0"/>
        <v>0</v>
      </c>
      <c r="K14" s="146">
        <f t="shared" si="1"/>
        <v>0</v>
      </c>
      <c r="L14" s="146">
        <f t="shared" si="2"/>
        <v>0</v>
      </c>
      <c r="M14" s="146">
        <f>'System Typicals @ Industry Std'!O38</f>
        <v>0</v>
      </c>
      <c r="N14" s="147">
        <f>'System Typicals @ Industry Std'!P38</f>
        <v>0</v>
      </c>
      <c r="O14" s="148">
        <f t="shared" si="3"/>
        <v>0</v>
      </c>
      <c r="P14" s="146">
        <f t="shared" si="4"/>
        <v>0</v>
      </c>
      <c r="Q14" s="147">
        <f>'System Typicals @ Industry Std'!Q38</f>
        <v>0</v>
      </c>
      <c r="R14" s="232">
        <f>IF($D14="",0,VLOOKUP(D14,System_Line_Correction_Factors,VLOOKUP('Input Specification and Output'!$D$3,ROC_CF_Lookup,2)))</f>
        <v>0</v>
      </c>
      <c r="S14" s="146">
        <f>IF($D14="",0,'System Typicals @ Industry Std'!Q38+'System Typicals @ Industry Std'!R38)*R14</f>
        <v>0</v>
      </c>
      <c r="T14" s="146">
        <f>'System Typicals @ Industry Std'!R38</f>
        <v>0</v>
      </c>
    </row>
    <row r="15" spans="1:20" x14ac:dyDescent="0.15">
      <c r="B15" s="112">
        <v>3</v>
      </c>
      <c r="C15" s="142" t="s">
        <v>88</v>
      </c>
      <c r="D15" s="143" t="str">
        <f>IF('Input Specification and Output'!C32="","",'Input Specification and Output'!C32)</f>
        <v/>
      </c>
      <c r="E15" s="144">
        <f>Typical_3_Qty</f>
        <v>0</v>
      </c>
      <c r="F15" s="145">
        <f>'System Typicals @ Industry Std'!T56</f>
        <v>0</v>
      </c>
      <c r="G15" s="146">
        <f>IF($D15="",0,IF(Site_Delivery_Systems="Y",0,IF(Site_Delivery_Systems="N",'System Typicals @ Industry Std'!M56,0)))</f>
        <v>0</v>
      </c>
      <c r="H15" s="146">
        <f>IF($D15="",0,IF(Site_Delivery_Systems="Y",0,IF(Site_Delivery_Systems="N",'System Typicals @ Industry Std'!N56,0)))</f>
        <v>0</v>
      </c>
      <c r="I15" s="146">
        <f>IF(Site_Delivery_Systems="",0,IF(Site_Delivery_Systems="Y",0,IF(E15&lt;&gt;0,'System Typicals @ Industry Std'!U56,0)))</f>
        <v>0</v>
      </c>
      <c r="J15" s="147">
        <f t="shared" si="0"/>
        <v>0</v>
      </c>
      <c r="K15" s="146">
        <f t="shared" si="1"/>
        <v>0</v>
      </c>
      <c r="L15" s="146">
        <f t="shared" si="2"/>
        <v>0</v>
      </c>
      <c r="M15" s="146">
        <f>'System Typicals @ Industry Std'!O56</f>
        <v>0</v>
      </c>
      <c r="N15" s="147">
        <f>'System Typicals @ Industry Std'!P56</f>
        <v>0</v>
      </c>
      <c r="O15" s="148">
        <f t="shared" si="3"/>
        <v>0</v>
      </c>
      <c r="P15" s="146">
        <f t="shared" si="4"/>
        <v>0</v>
      </c>
      <c r="Q15" s="147">
        <f>'System Typicals @ Industry Std'!Q56</f>
        <v>0</v>
      </c>
      <c r="R15" s="232">
        <f>IF($D15="",0,VLOOKUP(D15,System_Line_Correction_Factors,VLOOKUP('Input Specification and Output'!$D$3,ROC_CF_Lookup,2)))</f>
        <v>0</v>
      </c>
      <c r="S15" s="146">
        <f>IF($D15="",0,'System Typicals @ Industry Std'!Q56+'System Typicals @ Industry Std'!R56)*R15</f>
        <v>0</v>
      </c>
      <c r="T15" s="146">
        <f>'System Typicals @ Industry Std'!R56</f>
        <v>0</v>
      </c>
    </row>
    <row r="16" spans="1:20" x14ac:dyDescent="0.15">
      <c r="B16" s="112">
        <v>4</v>
      </c>
      <c r="C16" s="142" t="s">
        <v>89</v>
      </c>
      <c r="D16" s="143" t="str">
        <f>IF('Input Specification and Output'!C33="","",'Input Specification and Output'!C33)</f>
        <v/>
      </c>
      <c r="E16" s="144">
        <f>Typical_4_Qty</f>
        <v>0</v>
      </c>
      <c r="F16" s="145">
        <f>'System Typicals @ Industry Std'!T74</f>
        <v>0</v>
      </c>
      <c r="G16" s="146">
        <f>IF($D16="",0,IF(Site_Delivery_Systems="Y",0,IF(Site_Delivery_Systems="N",'System Typicals @ Industry Std'!M74,0)))</f>
        <v>0</v>
      </c>
      <c r="H16" s="146">
        <f>IF($D16="",0,IF(Site_Delivery_Systems="Y",0,IF(Site_Delivery_Systems="N",'System Typicals @ Industry Std'!N74,0)))</f>
        <v>0</v>
      </c>
      <c r="I16" s="146">
        <f>IF(Site_Delivery_Systems="",0,IF(Site_Delivery_Systems="Y",0,IF(E16&lt;&gt;0,'System Typicals @ Industry Std'!U74,0)))</f>
        <v>0</v>
      </c>
      <c r="J16" s="147">
        <f t="shared" si="0"/>
        <v>0</v>
      </c>
      <c r="K16" s="146">
        <f t="shared" si="1"/>
        <v>0</v>
      </c>
      <c r="L16" s="146">
        <f t="shared" si="2"/>
        <v>0</v>
      </c>
      <c r="M16" s="146">
        <f>'System Typicals @ Industry Std'!O74</f>
        <v>0</v>
      </c>
      <c r="N16" s="147">
        <f>'System Typicals @ Industry Std'!P74</f>
        <v>0</v>
      </c>
      <c r="O16" s="148">
        <f t="shared" si="3"/>
        <v>0</v>
      </c>
      <c r="P16" s="146">
        <f t="shared" si="4"/>
        <v>0</v>
      </c>
      <c r="Q16" s="147">
        <f>'System Typicals @ Industry Std'!Q74</f>
        <v>0</v>
      </c>
      <c r="R16" s="232">
        <f>IF($D16="",0,VLOOKUP(D16,System_Line_Correction_Factors,VLOOKUP('Input Specification and Output'!$D$3,ROC_CF_Lookup,2)))</f>
        <v>0</v>
      </c>
      <c r="S16" s="146">
        <f>IF($D16="",0,'System Typicals @ Industry Std'!Q74+'System Typicals @ Industry Std'!R74)*R16</f>
        <v>0</v>
      </c>
      <c r="T16" s="146">
        <f>'System Typicals @ Industry Std'!R74</f>
        <v>0</v>
      </c>
    </row>
    <row r="17" spans="2:20" x14ac:dyDescent="0.15">
      <c r="B17" s="112">
        <v>5</v>
      </c>
      <c r="C17" s="142" t="s">
        <v>90</v>
      </c>
      <c r="D17" s="143" t="str">
        <f>IF('Input Specification and Output'!C34="","",'Input Specification and Output'!C34)</f>
        <v/>
      </c>
      <c r="E17" s="144">
        <f>Typical_5_Qty</f>
        <v>0</v>
      </c>
      <c r="F17" s="145">
        <f>'System Typicals @ Industry Std'!T92</f>
        <v>0</v>
      </c>
      <c r="G17" s="146">
        <f>IF($D17="",0,IF(Site_Delivery_Systems="Y",0,IF(Site_Delivery_Systems="N",'System Typicals @ Industry Std'!M92,0)))</f>
        <v>0</v>
      </c>
      <c r="H17" s="146">
        <f>IF($D17="",0,IF(Site_Delivery_Systems="Y",0,IF(Site_Delivery_Systems="N",'System Typicals @ Industry Std'!N92,0)))</f>
        <v>0</v>
      </c>
      <c r="I17" s="146">
        <f>IF(Site_Delivery_Systems="",0,IF(Site_Delivery_Systems="Y",0,IF(E17&lt;&gt;0,'System Typicals @ Industry Std'!U92,0)))</f>
        <v>0</v>
      </c>
      <c r="J17" s="147">
        <f t="shared" si="0"/>
        <v>0</v>
      </c>
      <c r="K17" s="146">
        <f t="shared" si="1"/>
        <v>0</v>
      </c>
      <c r="L17" s="146">
        <f t="shared" si="2"/>
        <v>0</v>
      </c>
      <c r="M17" s="146">
        <f>'System Typicals @ Industry Std'!O92</f>
        <v>0</v>
      </c>
      <c r="N17" s="147">
        <f>'System Typicals @ Industry Std'!P92</f>
        <v>0</v>
      </c>
      <c r="O17" s="148">
        <f t="shared" si="3"/>
        <v>0</v>
      </c>
      <c r="P17" s="146">
        <f t="shared" si="4"/>
        <v>0</v>
      </c>
      <c r="Q17" s="147">
        <f>'System Typicals @ Industry Std'!Q92</f>
        <v>0</v>
      </c>
      <c r="R17" s="232">
        <f>IF($D17="",0,VLOOKUP(D17,System_Line_Correction_Factors,VLOOKUP('Input Specification and Output'!$D$3,ROC_CF_Lookup,2)))</f>
        <v>0</v>
      </c>
      <c r="S17" s="146">
        <f>IF($D17="",0,'System Typicals @ Industry Std'!Q92+'System Typicals @ Industry Std'!R92)*R17</f>
        <v>0</v>
      </c>
      <c r="T17" s="146">
        <f>'System Typicals @ Industry Std'!R92</f>
        <v>0</v>
      </c>
    </row>
    <row r="18" spans="2:20" x14ac:dyDescent="0.15">
      <c r="B18" s="112">
        <v>6</v>
      </c>
      <c r="C18" s="142" t="s">
        <v>91</v>
      </c>
      <c r="D18" s="143" t="str">
        <f>IF('Input Specification and Output'!C35="","",'Input Specification and Output'!C35)</f>
        <v/>
      </c>
      <c r="E18" s="144">
        <f>Typical_6_Qty</f>
        <v>0</v>
      </c>
      <c r="F18" s="145">
        <f>'System Typicals @ Industry Std'!T110</f>
        <v>0</v>
      </c>
      <c r="G18" s="146">
        <f>IF($D18="",0,IF(Site_Delivery_Systems="Y",0,IF(Site_Delivery_Systems="N",'System Typicals @ Industry Std'!M110,0)))</f>
        <v>0</v>
      </c>
      <c r="H18" s="146">
        <f>IF($D18="",0,IF(Site_Delivery_Systems="Y",0,IF(Site_Delivery_Systems="N",'System Typicals @ Industry Std'!N110,0)))</f>
        <v>0</v>
      </c>
      <c r="I18" s="146">
        <f>IF(Site_Delivery_Systems="",0,IF(Site_Delivery_Systems="Y",0,IF(E18&lt;&gt;0,'System Typicals @ Industry Std'!U110,0)))</f>
        <v>0</v>
      </c>
      <c r="J18" s="147">
        <f t="shared" si="0"/>
        <v>0</v>
      </c>
      <c r="K18" s="146">
        <f t="shared" si="1"/>
        <v>0</v>
      </c>
      <c r="L18" s="146">
        <f t="shared" si="2"/>
        <v>0</v>
      </c>
      <c r="M18" s="146">
        <f>'System Typicals @ Industry Std'!O110</f>
        <v>0</v>
      </c>
      <c r="N18" s="147">
        <f>'System Typicals @ Industry Std'!P110</f>
        <v>0</v>
      </c>
      <c r="O18" s="148">
        <f t="shared" si="3"/>
        <v>0</v>
      </c>
      <c r="P18" s="146">
        <f t="shared" si="4"/>
        <v>0</v>
      </c>
      <c r="Q18" s="147">
        <f>'System Typicals @ Industry Std'!Q110</f>
        <v>0</v>
      </c>
      <c r="R18" s="232">
        <f>IF($D18="",0,VLOOKUP(D18,System_Line_Correction_Factors,VLOOKUP('Input Specification and Output'!$D$3,ROC_CF_Lookup,2)))</f>
        <v>0</v>
      </c>
      <c r="S18" s="146">
        <f>IF($D18="",0,'System Typicals @ Industry Std'!Q110+'System Typicals @ Industry Std'!R110)*R18</f>
        <v>0</v>
      </c>
      <c r="T18" s="146">
        <f>'System Typicals @ Industry Std'!R110</f>
        <v>0</v>
      </c>
    </row>
    <row r="19" spans="2:20" x14ac:dyDescent="0.15">
      <c r="B19" s="112"/>
      <c r="C19" s="112"/>
      <c r="D19" s="129" t="s">
        <v>64</v>
      </c>
      <c r="E19" s="150">
        <f>SUM(E13:E18)</f>
        <v>0</v>
      </c>
      <c r="F19" s="150">
        <f>'System Typicals @ Industry Std'!T128</f>
        <v>0</v>
      </c>
      <c r="G19" s="151">
        <f>SUM(G13:G18)</f>
        <v>0</v>
      </c>
      <c r="H19" s="151">
        <f>SUM(H13:H18)</f>
        <v>0</v>
      </c>
      <c r="I19" s="151">
        <f>SUM(I13:I18)</f>
        <v>0</v>
      </c>
      <c r="K19" s="151">
        <f>SUM(K13:K18)</f>
        <v>0</v>
      </c>
      <c r="L19" s="151">
        <f>SUM(L13:L18)</f>
        <v>0</v>
      </c>
      <c r="M19" s="151">
        <f>SUM(M13:M18)</f>
        <v>0</v>
      </c>
      <c r="O19" s="152"/>
      <c r="P19" s="151">
        <f>SUM(P13:P18)</f>
        <v>0</v>
      </c>
      <c r="R19" s="153"/>
      <c r="S19" s="151">
        <f>SUM(S13:S18)</f>
        <v>0</v>
      </c>
      <c r="T19" s="151">
        <f>SUM(T13:T18)</f>
        <v>0</v>
      </c>
    </row>
    <row r="20" spans="2:20" ht="6" customHeight="1" x14ac:dyDescent="0.15">
      <c r="B20" s="112"/>
      <c r="C20" s="112"/>
      <c r="G20" s="147"/>
      <c r="H20" s="147"/>
      <c r="I20" s="147"/>
      <c r="K20" s="147"/>
      <c r="L20" s="147"/>
      <c r="M20" s="147"/>
      <c r="O20" s="152"/>
      <c r="P20" s="147"/>
      <c r="R20" s="227"/>
      <c r="S20" s="147"/>
      <c r="T20" s="147"/>
    </row>
    <row r="21" spans="2:20" x14ac:dyDescent="0.15">
      <c r="B21" s="112">
        <v>16</v>
      </c>
      <c r="C21" s="112"/>
      <c r="D21" s="143" t="str">
        <f>IF('Input Specification and Output'!B59="","",'Input Specification and Output'!B59)</f>
        <v/>
      </c>
      <c r="E21" s="155">
        <f>'Input Specification and Output'!E59</f>
        <v>0</v>
      </c>
      <c r="F21" s="156">
        <f t="shared" ref="F21:F33" si="5">IF($D21="",0,IF(E21="",0,E21*VLOOKUP(D21,Casegoods_National_Industry_Standards,5)))</f>
        <v>0</v>
      </c>
      <c r="G21" s="157">
        <f t="shared" ref="G21:G33" si="6">IF($D21="",0,IF(Site_Delivery_Casegoods="Y",0,IF(Site_Delivery_Casegoods="N",VLOOKUP($D21,Casegoods_National_Industry_Standards,7))))*E21/60</f>
        <v>0</v>
      </c>
      <c r="H21" s="157">
        <f t="shared" ref="H21:H33" si="7">IF($D21="",0,IF(Site_Delivery_Casegoods="Y",0,IF(Site_Delivery_Casegoods="N",VLOOKUP($D21,Casegoods_National_Industry_Standards,8))))*E21/60</f>
        <v>0</v>
      </c>
      <c r="I21" s="157">
        <f t="shared" ref="I21:I33" si="8">IF($D21="",0,IF(Site_Delivery_Casegoods="",0,IF(Site_Delivery_Casegoods="Y",0,IF(E21&lt;&gt;0,(E21*(VLOOKUP(D21,Casegoods_National_Industry_Standards,5)))/922,0))))</f>
        <v>0</v>
      </c>
      <c r="J21" s="147">
        <f t="shared" ref="J21:J33" si="9">IF(I21="",0,IF($E$7&lt;&gt;0,(I21*($E$7/35)*2),0))</f>
        <v>0</v>
      </c>
      <c r="K21" s="157">
        <f t="shared" ref="K21:K33" si="10">J21</f>
        <v>0</v>
      </c>
      <c r="L21" s="146">
        <f t="shared" ref="L21:L33" si="11">IF(Site_Delivery_Casegoods="Y",0,IF(Site_Delivery_Casegoods="N",H21/3+J21+M21,0))</f>
        <v>0</v>
      </c>
      <c r="M21" s="157">
        <f t="shared" ref="M21:M33" si="12">IF($D21="",0,IF($E21="",0,VLOOKUP($D21,Casegoods_National_Industry_Standards,10))*$E21/60)</f>
        <v>0</v>
      </c>
      <c r="N21" s="228">
        <f t="shared" ref="N21:N33" si="13">IF($D21="",0,IF($E21="",0,VLOOKUP($D21,Casegoods_National_Industry_Standards,11))*$E21/60)</f>
        <v>0</v>
      </c>
      <c r="O21" s="148">
        <f t="shared" ref="O21:O33" si="14">IF($D21="",0,IF($D$9="",1,VLOOKUP($D$9,Site_Move_Stage_Factors,2)))</f>
        <v>0</v>
      </c>
      <c r="P21" s="157">
        <f t="shared" ref="P21:P33" si="15">N21*O21</f>
        <v>0</v>
      </c>
      <c r="Q21" s="228">
        <f t="shared" ref="Q21:Q33" si="16">IF($D21="",0,IF($E21="",0,VLOOKUP($D21,Casegoods_National_Industry_Standards,13))*$E21/60)</f>
        <v>0</v>
      </c>
      <c r="R21" s="227"/>
      <c r="S21" s="157">
        <f t="shared" ref="S21:S33" si="17">Q21</f>
        <v>0</v>
      </c>
      <c r="T21" s="157">
        <f t="shared" ref="T21:T33" si="18">IF($D21="",0,IF($E21="",0,VLOOKUP($D21,Casegoods_National_Industry_Standards,14))*$E21/60)</f>
        <v>0</v>
      </c>
    </row>
    <row r="22" spans="2:20" x14ac:dyDescent="0.15">
      <c r="B22" s="112">
        <v>17</v>
      </c>
      <c r="C22" s="112"/>
      <c r="D22" s="143" t="str">
        <f>IF('Input Specification and Output'!B60="","",'Input Specification and Output'!B60)</f>
        <v/>
      </c>
      <c r="E22" s="155">
        <f>'Input Specification and Output'!E60</f>
        <v>0</v>
      </c>
      <c r="F22" s="156">
        <f t="shared" si="5"/>
        <v>0</v>
      </c>
      <c r="G22" s="157">
        <f t="shared" si="6"/>
        <v>0</v>
      </c>
      <c r="H22" s="157">
        <f t="shared" si="7"/>
        <v>0</v>
      </c>
      <c r="I22" s="157">
        <f t="shared" si="8"/>
        <v>0</v>
      </c>
      <c r="J22" s="147">
        <f t="shared" si="9"/>
        <v>0</v>
      </c>
      <c r="K22" s="157">
        <f t="shared" si="10"/>
        <v>0</v>
      </c>
      <c r="L22" s="146">
        <f t="shared" si="11"/>
        <v>0</v>
      </c>
      <c r="M22" s="157">
        <f t="shared" si="12"/>
        <v>0</v>
      </c>
      <c r="N22" s="228">
        <f t="shared" si="13"/>
        <v>0</v>
      </c>
      <c r="O22" s="148">
        <f t="shared" si="14"/>
        <v>0</v>
      </c>
      <c r="P22" s="157">
        <f t="shared" si="15"/>
        <v>0</v>
      </c>
      <c r="Q22" s="228">
        <f t="shared" si="16"/>
        <v>0</v>
      </c>
      <c r="R22" s="227"/>
      <c r="S22" s="157">
        <f t="shared" si="17"/>
        <v>0</v>
      </c>
      <c r="T22" s="157">
        <f t="shared" si="18"/>
        <v>0</v>
      </c>
    </row>
    <row r="23" spans="2:20" x14ac:dyDescent="0.15">
      <c r="B23" s="112">
        <v>18</v>
      </c>
      <c r="C23" s="112"/>
      <c r="D23" s="143" t="str">
        <f>IF('Input Specification and Output'!B61="","",'Input Specification and Output'!B61)</f>
        <v/>
      </c>
      <c r="E23" s="155">
        <f>'Input Specification and Output'!E61</f>
        <v>0</v>
      </c>
      <c r="F23" s="156">
        <f t="shared" si="5"/>
        <v>0</v>
      </c>
      <c r="G23" s="157">
        <f t="shared" si="6"/>
        <v>0</v>
      </c>
      <c r="H23" s="157">
        <f t="shared" si="7"/>
        <v>0</v>
      </c>
      <c r="I23" s="157">
        <f t="shared" si="8"/>
        <v>0</v>
      </c>
      <c r="J23" s="147">
        <f t="shared" si="9"/>
        <v>0</v>
      </c>
      <c r="K23" s="157">
        <f t="shared" si="10"/>
        <v>0</v>
      </c>
      <c r="L23" s="146">
        <f t="shared" si="11"/>
        <v>0</v>
      </c>
      <c r="M23" s="157">
        <f t="shared" si="12"/>
        <v>0</v>
      </c>
      <c r="N23" s="228">
        <f t="shared" si="13"/>
        <v>0</v>
      </c>
      <c r="O23" s="148">
        <f t="shared" si="14"/>
        <v>0</v>
      </c>
      <c r="P23" s="157">
        <f t="shared" si="15"/>
        <v>0</v>
      </c>
      <c r="Q23" s="228">
        <f t="shared" si="16"/>
        <v>0</v>
      </c>
      <c r="R23" s="227"/>
      <c r="S23" s="157">
        <f t="shared" si="17"/>
        <v>0</v>
      </c>
      <c r="T23" s="157">
        <f t="shared" si="18"/>
        <v>0</v>
      </c>
    </row>
    <row r="24" spans="2:20" x14ac:dyDescent="0.15">
      <c r="B24" s="112">
        <v>19</v>
      </c>
      <c r="C24" s="112"/>
      <c r="D24" s="143" t="str">
        <f>IF('Input Specification and Output'!B62="","",'Input Specification and Output'!B62)</f>
        <v/>
      </c>
      <c r="E24" s="155">
        <f>'Input Specification and Output'!E62</f>
        <v>0</v>
      </c>
      <c r="F24" s="156">
        <f t="shared" si="5"/>
        <v>0</v>
      </c>
      <c r="G24" s="157">
        <f t="shared" si="6"/>
        <v>0</v>
      </c>
      <c r="H24" s="157">
        <f t="shared" si="7"/>
        <v>0</v>
      </c>
      <c r="I24" s="157">
        <f t="shared" si="8"/>
        <v>0</v>
      </c>
      <c r="J24" s="147">
        <f t="shared" si="9"/>
        <v>0</v>
      </c>
      <c r="K24" s="157">
        <f t="shared" si="10"/>
        <v>0</v>
      </c>
      <c r="L24" s="146">
        <f t="shared" si="11"/>
        <v>0</v>
      </c>
      <c r="M24" s="157">
        <f t="shared" si="12"/>
        <v>0</v>
      </c>
      <c r="N24" s="228">
        <f t="shared" si="13"/>
        <v>0</v>
      </c>
      <c r="O24" s="148">
        <f t="shared" si="14"/>
        <v>0</v>
      </c>
      <c r="P24" s="157">
        <f t="shared" si="15"/>
        <v>0</v>
      </c>
      <c r="Q24" s="228">
        <f t="shared" si="16"/>
        <v>0</v>
      </c>
      <c r="R24" s="227"/>
      <c r="S24" s="157">
        <f t="shared" si="17"/>
        <v>0</v>
      </c>
      <c r="T24" s="157">
        <f t="shared" si="18"/>
        <v>0</v>
      </c>
    </row>
    <row r="25" spans="2:20" x14ac:dyDescent="0.15">
      <c r="B25" s="112">
        <v>20</v>
      </c>
      <c r="C25" s="112"/>
      <c r="D25" s="143" t="str">
        <f>IF('Input Specification and Output'!B63="","",'Input Specification and Output'!B63)</f>
        <v/>
      </c>
      <c r="E25" s="155">
        <f>'Input Specification and Output'!E63</f>
        <v>0</v>
      </c>
      <c r="F25" s="156">
        <f t="shared" si="5"/>
        <v>0</v>
      </c>
      <c r="G25" s="157">
        <f t="shared" si="6"/>
        <v>0</v>
      </c>
      <c r="H25" s="157">
        <f t="shared" si="7"/>
        <v>0</v>
      </c>
      <c r="I25" s="157">
        <f t="shared" si="8"/>
        <v>0</v>
      </c>
      <c r="J25" s="147">
        <f t="shared" si="9"/>
        <v>0</v>
      </c>
      <c r="K25" s="157">
        <f t="shared" si="10"/>
        <v>0</v>
      </c>
      <c r="L25" s="146">
        <f t="shared" si="11"/>
        <v>0</v>
      </c>
      <c r="M25" s="157">
        <f t="shared" si="12"/>
        <v>0</v>
      </c>
      <c r="N25" s="228">
        <f t="shared" si="13"/>
        <v>0</v>
      </c>
      <c r="O25" s="148">
        <f t="shared" si="14"/>
        <v>0</v>
      </c>
      <c r="P25" s="157">
        <f t="shared" si="15"/>
        <v>0</v>
      </c>
      <c r="Q25" s="228">
        <f t="shared" si="16"/>
        <v>0</v>
      </c>
      <c r="R25" s="227"/>
      <c r="S25" s="157">
        <f t="shared" si="17"/>
        <v>0</v>
      </c>
      <c r="T25" s="157">
        <f t="shared" si="18"/>
        <v>0</v>
      </c>
    </row>
    <row r="26" spans="2:20" x14ac:dyDescent="0.15">
      <c r="B26" s="112">
        <v>21</v>
      </c>
      <c r="C26" s="112"/>
      <c r="D26" s="143" t="str">
        <f>IF('Input Specification and Output'!B64="","",'Input Specification and Output'!B64)</f>
        <v/>
      </c>
      <c r="E26" s="155">
        <f>'Input Specification and Output'!E64</f>
        <v>0</v>
      </c>
      <c r="F26" s="156">
        <f t="shared" si="5"/>
        <v>0</v>
      </c>
      <c r="G26" s="157">
        <f t="shared" si="6"/>
        <v>0</v>
      </c>
      <c r="H26" s="157">
        <f t="shared" si="7"/>
        <v>0</v>
      </c>
      <c r="I26" s="157">
        <f t="shared" si="8"/>
        <v>0</v>
      </c>
      <c r="J26" s="147">
        <f t="shared" si="9"/>
        <v>0</v>
      </c>
      <c r="K26" s="157">
        <f t="shared" si="10"/>
        <v>0</v>
      </c>
      <c r="L26" s="146">
        <f t="shared" si="11"/>
        <v>0</v>
      </c>
      <c r="M26" s="157">
        <f t="shared" si="12"/>
        <v>0</v>
      </c>
      <c r="N26" s="228">
        <f t="shared" si="13"/>
        <v>0</v>
      </c>
      <c r="O26" s="148">
        <f t="shared" si="14"/>
        <v>0</v>
      </c>
      <c r="P26" s="157">
        <f t="shared" si="15"/>
        <v>0</v>
      </c>
      <c r="Q26" s="228">
        <f t="shared" si="16"/>
        <v>0</v>
      </c>
      <c r="R26" s="227"/>
      <c r="S26" s="157">
        <f t="shared" si="17"/>
        <v>0</v>
      </c>
      <c r="T26" s="157">
        <f t="shared" si="18"/>
        <v>0</v>
      </c>
    </row>
    <row r="27" spans="2:20" x14ac:dyDescent="0.15">
      <c r="B27" s="112">
        <v>22</v>
      </c>
      <c r="C27" s="112"/>
      <c r="D27" s="143" t="str">
        <f>IF('Input Specification and Output'!B65="","",'Input Specification and Output'!B65)</f>
        <v/>
      </c>
      <c r="E27" s="155">
        <f>'Input Specification and Output'!E65</f>
        <v>0</v>
      </c>
      <c r="F27" s="156">
        <f t="shared" si="5"/>
        <v>0</v>
      </c>
      <c r="G27" s="157">
        <f t="shared" si="6"/>
        <v>0</v>
      </c>
      <c r="H27" s="157">
        <f t="shared" si="7"/>
        <v>0</v>
      </c>
      <c r="I27" s="157">
        <f t="shared" si="8"/>
        <v>0</v>
      </c>
      <c r="J27" s="147">
        <f t="shared" si="9"/>
        <v>0</v>
      </c>
      <c r="K27" s="157">
        <f t="shared" si="10"/>
        <v>0</v>
      </c>
      <c r="L27" s="146">
        <f t="shared" si="11"/>
        <v>0</v>
      </c>
      <c r="M27" s="157">
        <f t="shared" si="12"/>
        <v>0</v>
      </c>
      <c r="N27" s="228">
        <f t="shared" si="13"/>
        <v>0</v>
      </c>
      <c r="O27" s="148">
        <f t="shared" si="14"/>
        <v>0</v>
      </c>
      <c r="P27" s="157">
        <f t="shared" si="15"/>
        <v>0</v>
      </c>
      <c r="Q27" s="228">
        <f t="shared" si="16"/>
        <v>0</v>
      </c>
      <c r="R27" s="227"/>
      <c r="S27" s="157">
        <f t="shared" si="17"/>
        <v>0</v>
      </c>
      <c r="T27" s="157">
        <f t="shared" si="18"/>
        <v>0</v>
      </c>
    </row>
    <row r="28" spans="2:20" x14ac:dyDescent="0.15">
      <c r="B28" s="112">
        <v>23</v>
      </c>
      <c r="C28" s="112"/>
      <c r="D28" s="143" t="str">
        <f>IF('Input Specification and Output'!B66="","",'Input Specification and Output'!B66)</f>
        <v/>
      </c>
      <c r="E28" s="155">
        <f>'Input Specification and Output'!E66</f>
        <v>0</v>
      </c>
      <c r="F28" s="156">
        <f t="shared" si="5"/>
        <v>0</v>
      </c>
      <c r="G28" s="157">
        <f t="shared" si="6"/>
        <v>0</v>
      </c>
      <c r="H28" s="157">
        <f t="shared" si="7"/>
        <v>0</v>
      </c>
      <c r="I28" s="157">
        <f t="shared" si="8"/>
        <v>0</v>
      </c>
      <c r="J28" s="147">
        <f t="shared" si="9"/>
        <v>0</v>
      </c>
      <c r="K28" s="157">
        <f t="shared" si="10"/>
        <v>0</v>
      </c>
      <c r="L28" s="146">
        <f t="shared" si="11"/>
        <v>0</v>
      </c>
      <c r="M28" s="157">
        <f t="shared" si="12"/>
        <v>0</v>
      </c>
      <c r="N28" s="228">
        <f t="shared" si="13"/>
        <v>0</v>
      </c>
      <c r="O28" s="148">
        <f t="shared" si="14"/>
        <v>0</v>
      </c>
      <c r="P28" s="157">
        <f t="shared" si="15"/>
        <v>0</v>
      </c>
      <c r="Q28" s="228">
        <f t="shared" si="16"/>
        <v>0</v>
      </c>
      <c r="R28" s="227"/>
      <c r="S28" s="157">
        <f t="shared" si="17"/>
        <v>0</v>
      </c>
      <c r="T28" s="157">
        <f t="shared" si="18"/>
        <v>0</v>
      </c>
    </row>
    <row r="29" spans="2:20" x14ac:dyDescent="0.15">
      <c r="B29" s="112">
        <v>24</v>
      </c>
      <c r="C29" s="112"/>
      <c r="D29" s="143" t="str">
        <f>IF('Input Specification and Output'!B67="","",'Input Specification and Output'!B67)</f>
        <v/>
      </c>
      <c r="E29" s="155">
        <f>'Input Specification and Output'!E67</f>
        <v>0</v>
      </c>
      <c r="F29" s="156">
        <f t="shared" si="5"/>
        <v>0</v>
      </c>
      <c r="G29" s="157">
        <f t="shared" si="6"/>
        <v>0</v>
      </c>
      <c r="H29" s="157">
        <f t="shared" si="7"/>
        <v>0</v>
      </c>
      <c r="I29" s="157">
        <f t="shared" si="8"/>
        <v>0</v>
      </c>
      <c r="J29" s="147">
        <f t="shared" si="9"/>
        <v>0</v>
      </c>
      <c r="K29" s="157">
        <f t="shared" si="10"/>
        <v>0</v>
      </c>
      <c r="L29" s="146">
        <f t="shared" si="11"/>
        <v>0</v>
      </c>
      <c r="M29" s="157">
        <f t="shared" si="12"/>
        <v>0</v>
      </c>
      <c r="N29" s="228">
        <f t="shared" si="13"/>
        <v>0</v>
      </c>
      <c r="O29" s="148">
        <f t="shared" si="14"/>
        <v>0</v>
      </c>
      <c r="P29" s="157">
        <f t="shared" si="15"/>
        <v>0</v>
      </c>
      <c r="Q29" s="228">
        <f t="shared" si="16"/>
        <v>0</v>
      </c>
      <c r="R29" s="227"/>
      <c r="S29" s="157">
        <f t="shared" si="17"/>
        <v>0</v>
      </c>
      <c r="T29" s="157">
        <f t="shared" si="18"/>
        <v>0</v>
      </c>
    </row>
    <row r="30" spans="2:20" x14ac:dyDescent="0.15">
      <c r="B30" s="112">
        <v>25</v>
      </c>
      <c r="C30" s="112"/>
      <c r="D30" s="143" t="str">
        <f>IF('Input Specification and Output'!B68="","",'Input Specification and Output'!B68)</f>
        <v/>
      </c>
      <c r="E30" s="155">
        <f>'Input Specification and Output'!E68</f>
        <v>0</v>
      </c>
      <c r="F30" s="156">
        <f t="shared" si="5"/>
        <v>0</v>
      </c>
      <c r="G30" s="157">
        <f t="shared" si="6"/>
        <v>0</v>
      </c>
      <c r="H30" s="157">
        <f t="shared" si="7"/>
        <v>0</v>
      </c>
      <c r="I30" s="157">
        <f t="shared" si="8"/>
        <v>0</v>
      </c>
      <c r="J30" s="147">
        <f t="shared" si="9"/>
        <v>0</v>
      </c>
      <c r="K30" s="157">
        <f t="shared" si="10"/>
        <v>0</v>
      </c>
      <c r="L30" s="146">
        <f t="shared" si="11"/>
        <v>0</v>
      </c>
      <c r="M30" s="157">
        <f t="shared" si="12"/>
        <v>0</v>
      </c>
      <c r="N30" s="228">
        <f t="shared" si="13"/>
        <v>0</v>
      </c>
      <c r="O30" s="148">
        <f t="shared" si="14"/>
        <v>0</v>
      </c>
      <c r="P30" s="157">
        <f t="shared" si="15"/>
        <v>0</v>
      </c>
      <c r="Q30" s="228">
        <f t="shared" si="16"/>
        <v>0</v>
      </c>
      <c r="R30" s="227"/>
      <c r="S30" s="157">
        <f t="shared" si="17"/>
        <v>0</v>
      </c>
      <c r="T30" s="157">
        <f t="shared" si="18"/>
        <v>0</v>
      </c>
    </row>
    <row r="31" spans="2:20" x14ac:dyDescent="0.15">
      <c r="B31" s="112">
        <v>26</v>
      </c>
      <c r="C31" s="112"/>
      <c r="D31" s="143" t="str">
        <f>IF('Input Specification and Output'!B69="","",'Input Specification and Output'!B69)</f>
        <v/>
      </c>
      <c r="E31" s="155">
        <f>'Input Specification and Output'!E69</f>
        <v>0</v>
      </c>
      <c r="F31" s="156">
        <f t="shared" si="5"/>
        <v>0</v>
      </c>
      <c r="G31" s="157">
        <f t="shared" si="6"/>
        <v>0</v>
      </c>
      <c r="H31" s="157">
        <f t="shared" si="7"/>
        <v>0</v>
      </c>
      <c r="I31" s="157">
        <f t="shared" si="8"/>
        <v>0</v>
      </c>
      <c r="J31" s="147">
        <f t="shared" si="9"/>
        <v>0</v>
      </c>
      <c r="K31" s="157">
        <f t="shared" si="10"/>
        <v>0</v>
      </c>
      <c r="L31" s="146">
        <f t="shared" si="11"/>
        <v>0</v>
      </c>
      <c r="M31" s="157">
        <f t="shared" si="12"/>
        <v>0</v>
      </c>
      <c r="N31" s="228">
        <f t="shared" si="13"/>
        <v>0</v>
      </c>
      <c r="O31" s="148">
        <f t="shared" si="14"/>
        <v>0</v>
      </c>
      <c r="P31" s="157">
        <f t="shared" si="15"/>
        <v>0</v>
      </c>
      <c r="Q31" s="228">
        <f t="shared" si="16"/>
        <v>0</v>
      </c>
      <c r="R31" s="227"/>
      <c r="S31" s="157">
        <f t="shared" si="17"/>
        <v>0</v>
      </c>
      <c r="T31" s="157">
        <f t="shared" si="18"/>
        <v>0</v>
      </c>
    </row>
    <row r="32" spans="2:20" x14ac:dyDescent="0.15">
      <c r="B32" s="112">
        <v>27</v>
      </c>
      <c r="C32" s="112"/>
      <c r="D32" s="143" t="str">
        <f>IF('Input Specification and Output'!B70="","",'Input Specification and Output'!B70)</f>
        <v/>
      </c>
      <c r="E32" s="155">
        <f>'Input Specification and Output'!E70</f>
        <v>0</v>
      </c>
      <c r="F32" s="156">
        <f t="shared" si="5"/>
        <v>0</v>
      </c>
      <c r="G32" s="157">
        <f t="shared" si="6"/>
        <v>0</v>
      </c>
      <c r="H32" s="157">
        <f t="shared" si="7"/>
        <v>0</v>
      </c>
      <c r="I32" s="157">
        <f t="shared" si="8"/>
        <v>0</v>
      </c>
      <c r="J32" s="147">
        <f t="shared" si="9"/>
        <v>0</v>
      </c>
      <c r="K32" s="157">
        <f t="shared" si="10"/>
        <v>0</v>
      </c>
      <c r="L32" s="146">
        <f t="shared" si="11"/>
        <v>0</v>
      </c>
      <c r="M32" s="157">
        <f t="shared" si="12"/>
        <v>0</v>
      </c>
      <c r="N32" s="228">
        <f t="shared" si="13"/>
        <v>0</v>
      </c>
      <c r="O32" s="148">
        <f t="shared" si="14"/>
        <v>0</v>
      </c>
      <c r="P32" s="157">
        <f t="shared" si="15"/>
        <v>0</v>
      </c>
      <c r="Q32" s="228">
        <f t="shared" si="16"/>
        <v>0</v>
      </c>
      <c r="R32" s="227"/>
      <c r="S32" s="157">
        <f t="shared" si="17"/>
        <v>0</v>
      </c>
      <c r="T32" s="157">
        <f t="shared" si="18"/>
        <v>0</v>
      </c>
    </row>
    <row r="33" spans="2:20" x14ac:dyDescent="0.15">
      <c r="B33" s="112">
        <v>28</v>
      </c>
      <c r="C33" s="112"/>
      <c r="D33" s="143" t="str">
        <f>IF('Input Specification and Output'!B71="","",'Input Specification and Output'!B71)</f>
        <v/>
      </c>
      <c r="E33" s="155">
        <f>'Input Specification and Output'!E71</f>
        <v>0</v>
      </c>
      <c r="F33" s="156">
        <f t="shared" si="5"/>
        <v>0</v>
      </c>
      <c r="G33" s="157">
        <f t="shared" si="6"/>
        <v>0</v>
      </c>
      <c r="H33" s="157">
        <f t="shared" si="7"/>
        <v>0</v>
      </c>
      <c r="I33" s="157">
        <f t="shared" si="8"/>
        <v>0</v>
      </c>
      <c r="J33" s="147">
        <f t="shared" si="9"/>
        <v>0</v>
      </c>
      <c r="K33" s="157">
        <f t="shared" si="10"/>
        <v>0</v>
      </c>
      <c r="L33" s="146">
        <f t="shared" si="11"/>
        <v>0</v>
      </c>
      <c r="M33" s="157">
        <f t="shared" si="12"/>
        <v>0</v>
      </c>
      <c r="N33" s="228">
        <f t="shared" si="13"/>
        <v>0</v>
      </c>
      <c r="O33" s="148">
        <f t="shared" si="14"/>
        <v>0</v>
      </c>
      <c r="P33" s="157">
        <f t="shared" si="15"/>
        <v>0</v>
      </c>
      <c r="Q33" s="228">
        <f t="shared" si="16"/>
        <v>0</v>
      </c>
      <c r="R33" s="227"/>
      <c r="S33" s="157">
        <f t="shared" si="17"/>
        <v>0</v>
      </c>
      <c r="T33" s="157">
        <f t="shared" si="18"/>
        <v>0</v>
      </c>
    </row>
    <row r="34" spans="2:20" x14ac:dyDescent="0.15">
      <c r="D34" s="129" t="s">
        <v>255</v>
      </c>
      <c r="E34" s="150">
        <f>SUM(E21:E33)</f>
        <v>0</v>
      </c>
      <c r="F34" s="150">
        <f>SUM(F21:F33)</f>
        <v>0</v>
      </c>
      <c r="G34" s="151">
        <f>SUM(G21:G33)</f>
        <v>0</v>
      </c>
      <c r="H34" s="151">
        <f>SUM(H21:H33)</f>
        <v>0</v>
      </c>
      <c r="I34" s="151">
        <f>SUM(I21:I33)</f>
        <v>0</v>
      </c>
      <c r="J34" s="159"/>
      <c r="K34" s="151">
        <f>SUM(K21:K33)</f>
        <v>0</v>
      </c>
      <c r="L34" s="151">
        <f>SUM(L21:L33)</f>
        <v>0</v>
      </c>
      <c r="M34" s="151">
        <f>SUM(M21:M33)</f>
        <v>0</v>
      </c>
      <c r="N34" s="160"/>
      <c r="O34" s="160"/>
      <c r="P34" s="151">
        <f>SUM(P21:P33)</f>
        <v>0</v>
      </c>
      <c r="S34" s="151">
        <f>SUM(S21:S33)</f>
        <v>0</v>
      </c>
      <c r="T34" s="151">
        <f>SUM(T21:T33)</f>
        <v>0</v>
      </c>
    </row>
    <row r="35" spans="2:20" x14ac:dyDescent="0.15">
      <c r="D35" s="129"/>
      <c r="E35" s="159"/>
      <c r="F35" s="159"/>
      <c r="G35" s="160"/>
      <c r="H35" s="160"/>
      <c r="I35" s="160"/>
      <c r="J35" s="159"/>
      <c r="K35" s="160"/>
      <c r="L35" s="160"/>
      <c r="M35" s="160"/>
      <c r="N35" s="159"/>
      <c r="O35" s="160"/>
      <c r="P35" s="160"/>
      <c r="Q35" s="159"/>
      <c r="S35" s="160"/>
      <c r="T35" s="160"/>
    </row>
    <row r="36" spans="2:20" ht="14" thickBot="1" x14ac:dyDescent="0.2">
      <c r="D36" s="129" t="s">
        <v>98</v>
      </c>
      <c r="E36" s="161">
        <f>(E19+E34)</f>
        <v>0</v>
      </c>
      <c r="F36" s="161">
        <f>(F19+F34)</f>
        <v>0</v>
      </c>
      <c r="G36" s="162">
        <f>(G19+G34)</f>
        <v>0</v>
      </c>
      <c r="H36" s="162">
        <f>(H19+H34)</f>
        <v>0</v>
      </c>
      <c r="I36" s="162">
        <f>(I19+I34)</f>
        <v>0</v>
      </c>
      <c r="J36" s="159"/>
      <c r="K36" s="162">
        <f>(K19+K34)</f>
        <v>0</v>
      </c>
      <c r="L36" s="162">
        <f>(L19+L34)</f>
        <v>0</v>
      </c>
      <c r="M36" s="162">
        <f>(M19+M34)</f>
        <v>0</v>
      </c>
      <c r="N36" s="160"/>
      <c r="O36" s="160"/>
      <c r="P36" s="162">
        <f>(P19+P34)</f>
        <v>0</v>
      </c>
      <c r="S36" s="162">
        <f>(S19+S34)</f>
        <v>0</v>
      </c>
      <c r="T36" s="162">
        <f>(T19+T34)</f>
        <v>0</v>
      </c>
    </row>
    <row r="37" spans="2:20" ht="14" thickTop="1" x14ac:dyDescent="0.15"/>
    <row r="38" spans="2:20" ht="48" x14ac:dyDescent="0.15">
      <c r="D38" s="131" t="s">
        <v>70</v>
      </c>
      <c r="E38" s="163" t="s">
        <v>85</v>
      </c>
      <c r="F38" s="131" t="s">
        <v>79</v>
      </c>
    </row>
    <row r="39" spans="2:20" x14ac:dyDescent="0.15">
      <c r="D39" s="109" t="s">
        <v>72</v>
      </c>
      <c r="F39" s="164"/>
    </row>
    <row r="40" spans="2:20" x14ac:dyDescent="0.15">
      <c r="D40" s="109" t="s">
        <v>73</v>
      </c>
      <c r="F40" s="164"/>
    </row>
    <row r="41" spans="2:20" x14ac:dyDescent="0.15">
      <c r="D41" s="109" t="s">
        <v>78</v>
      </c>
      <c r="E41" s="229">
        <v>1</v>
      </c>
      <c r="F41" s="164"/>
    </row>
    <row r="42" spans="2:20" x14ac:dyDescent="0.15">
      <c r="D42" s="109" t="s">
        <v>77</v>
      </c>
      <c r="E42" s="229">
        <v>1</v>
      </c>
      <c r="F42" s="164"/>
    </row>
    <row r="43" spans="2:20" x14ac:dyDescent="0.15">
      <c r="D43" s="109" t="s">
        <v>76</v>
      </c>
      <c r="E43" s="229">
        <v>1</v>
      </c>
      <c r="F43" s="164"/>
    </row>
    <row r="44" spans="2:20" x14ac:dyDescent="0.15">
      <c r="D44" s="109" t="s">
        <v>74</v>
      </c>
      <c r="E44" s="229">
        <v>1</v>
      </c>
      <c r="F44" s="164"/>
    </row>
    <row r="45" spans="2:20" x14ac:dyDescent="0.15">
      <c r="D45" s="109" t="s">
        <v>75</v>
      </c>
      <c r="E45" s="229">
        <v>1</v>
      </c>
      <c r="F45" s="164"/>
    </row>
  </sheetData>
  <mergeCells count="4">
    <mergeCell ref="G11:H11"/>
    <mergeCell ref="I11:L11"/>
    <mergeCell ref="N11:P11"/>
    <mergeCell ref="Q11:S11"/>
  </mergeCells>
  <phoneticPr fontId="2" type="noConversion"/>
  <dataValidations count="7">
    <dataValidation type="whole" allowBlank="1" showInputMessage="1" showErrorMessage="1" error="Enter a quantity from 1 to 500." prompt="Enter a quantity from 1 to 500." sqref="F45 F39:F40 E25:E33 E23">
      <formula1>1</formula1>
      <formula2>500</formula2>
    </dataValidation>
    <dataValidation type="whole" allowBlank="1" showInputMessage="1" showErrorMessage="1" error="Enter a quantity from 1 to 5000." prompt="Enter a quantity from 1 to 5000." sqref="F41:F44">
      <formula1>1</formula1>
      <formula2>5000</formula2>
    </dataValidation>
    <dataValidation allowBlank="1" showInputMessage="1" showErrorMessage="1" error="Will manufacturer ship directly to job site? (Y or N?)" prompt="Will manufacturer ship directly to job site? (Y or N?)_x000a_" sqref="E4:E5"/>
    <dataValidation type="list" allowBlank="1" showInputMessage="1" showErrorMessage="1" sqref="D9">
      <formula1>Site_Conditions</formula1>
    </dataValidation>
    <dataValidation type="list" allowBlank="1" showInputMessage="1" showErrorMessage="1" error="Select the system line being installed." prompt="Select the system line being installed." sqref="D13:D18">
      <formula1>System_Line</formula1>
    </dataValidation>
    <dataValidation type="list" allowBlank="1" showInputMessage="1" showErrorMessage="1" error="Select the furniture product category being installed." prompt="Select the furniture product category being installed." sqref="D21:D33">
      <formula1>Casegoods_Line</formula1>
    </dataValidation>
    <dataValidation type="whole" allowBlank="1" showInputMessage="1" showErrorMessage="1" error="Enter a quantity from 1 to 1,000." prompt="Enter a quantity from 1 to 1,000." sqref="E21:E22 E24">
      <formula1>1</formula1>
      <formula2>1000</formula2>
    </dataValidation>
  </dataValidations>
  <pageMargins left="0.5" right="0.5" top="0.5" bottom="0.5" header="0.5" footer="0.25"/>
  <pageSetup scale="5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T37"/>
  <sheetViews>
    <sheetView workbookViewId="0">
      <pane xSplit="5" ySplit="12" topLeftCell="H13" activePane="bottomRight" state="frozen"/>
      <selection activeCell="Y88" sqref="Y88"/>
      <selection pane="topRight" activeCell="Y88" sqref="Y88"/>
      <selection pane="bottomLeft" activeCell="Y88" sqref="Y88"/>
      <selection pane="bottomRight" activeCell="O21" sqref="O21"/>
    </sheetView>
  </sheetViews>
  <sheetFormatPr baseColWidth="10" defaultColWidth="8.83203125" defaultRowHeight="13" x14ac:dyDescent="0.15"/>
  <cols>
    <col min="1" max="1" customWidth="true" style="109" width="3.6640625" collapsed="true"/>
    <col min="2" max="2" customWidth="true" style="109" width="7.6640625" collapsed="true"/>
    <col min="3" max="3" customWidth="true" style="109" width="9.6640625" collapsed="true"/>
    <col min="4" max="4" customWidth="true" style="109" width="44.6640625" collapsed="true"/>
    <col min="5" max="6" customWidth="true" style="109" width="9.6640625" collapsed="true"/>
    <col min="7" max="14" customWidth="true" style="109" width="10.6640625" collapsed="true"/>
    <col min="15" max="15" customWidth="true" style="109" width="11.6640625" collapsed="true"/>
    <col min="16" max="20" customWidth="true" style="109" width="10.6640625" collapsed="true"/>
    <col min="21" max="16384" style="109" width="8.83203125" collapsed="true"/>
  </cols>
  <sheetData>
    <row r="1" spans="1:20" ht="18" x14ac:dyDescent="0.2">
      <c r="A1" s="108" t="s">
        <v>39</v>
      </c>
    </row>
    <row r="2" spans="1:20" ht="18" x14ac:dyDescent="0.2">
      <c r="A2" s="108" t="s">
        <v>71</v>
      </c>
    </row>
    <row r="4" spans="1:20" ht="14" x14ac:dyDescent="0.15">
      <c r="B4" s="132" t="s">
        <v>263</v>
      </c>
      <c r="C4" s="132"/>
      <c r="E4" s="165" t="str">
        <f>IF('Input Specification and Output'!D20="","",'Input Specification and Output'!D20)</f>
        <v/>
      </c>
    </row>
    <row r="5" spans="1:20" ht="14" x14ac:dyDescent="0.15">
      <c r="B5" s="132" t="s">
        <v>264</v>
      </c>
      <c r="C5" s="132"/>
      <c r="E5" s="165" t="str">
        <f>IF('Input Specification and Output'!D21="","",'Input Specification and Output'!D21)</f>
        <v/>
      </c>
    </row>
    <row r="6" spans="1:20" ht="14" x14ac:dyDescent="0.15">
      <c r="B6" s="132" t="s">
        <v>231</v>
      </c>
      <c r="C6" s="132"/>
      <c r="E6" s="133"/>
    </row>
    <row r="7" spans="1:20" ht="14" x14ac:dyDescent="0.15">
      <c r="B7" s="132" t="s">
        <v>81</v>
      </c>
      <c r="C7" s="132"/>
      <c r="E7" s="134">
        <f>'Input Specification and Output'!D22</f>
        <v>0</v>
      </c>
    </row>
    <row r="8" spans="1:20" ht="14" x14ac:dyDescent="0.15">
      <c r="B8" s="135" t="s">
        <v>83</v>
      </c>
      <c r="C8" s="132"/>
    </row>
    <row r="9" spans="1:20" x14ac:dyDescent="0.15">
      <c r="D9" s="136">
        <f>'Input Specification and Output'!D24</f>
        <v>0</v>
      </c>
    </row>
    <row r="10" spans="1:20" ht="15" thickBot="1" x14ac:dyDescent="0.2">
      <c r="B10" s="132"/>
    </row>
    <row r="11" spans="1:20" ht="42" customHeight="1" thickBot="1" x14ac:dyDescent="0.2">
      <c r="G11" s="572" t="s">
        <v>230</v>
      </c>
      <c r="H11" s="573"/>
      <c r="I11" s="574" t="s">
        <v>229</v>
      </c>
      <c r="J11" s="575"/>
      <c r="K11" s="575"/>
      <c r="L11" s="576"/>
      <c r="M11" s="137"/>
      <c r="N11" s="577" t="s">
        <v>242</v>
      </c>
      <c r="O11" s="578"/>
      <c r="P11" s="579"/>
      <c r="Q11" s="572" t="s">
        <v>112</v>
      </c>
      <c r="R11" s="580"/>
      <c r="S11" s="573"/>
      <c r="T11" s="137"/>
    </row>
    <row r="12" spans="1:20" ht="66" thickBot="1" x14ac:dyDescent="0.2">
      <c r="B12" s="138" t="s">
        <v>40</v>
      </c>
      <c r="C12" s="138" t="s">
        <v>110</v>
      </c>
      <c r="D12" s="138" t="s">
        <v>109</v>
      </c>
      <c r="E12" s="138" t="s">
        <v>38</v>
      </c>
      <c r="F12" s="138" t="s">
        <v>139</v>
      </c>
      <c r="G12" s="139" t="s">
        <v>234</v>
      </c>
      <c r="H12" s="139" t="s">
        <v>235</v>
      </c>
      <c r="I12" s="138" t="s">
        <v>246</v>
      </c>
      <c r="J12" s="138" t="s">
        <v>237</v>
      </c>
      <c r="K12" s="140" t="s">
        <v>233</v>
      </c>
      <c r="L12" s="138" t="s">
        <v>236</v>
      </c>
      <c r="M12" s="139" t="s">
        <v>238</v>
      </c>
      <c r="N12" s="139" t="s">
        <v>239</v>
      </c>
      <c r="O12" s="141" t="s">
        <v>240</v>
      </c>
      <c r="P12" s="140" t="s">
        <v>241</v>
      </c>
      <c r="Q12" s="139" t="s">
        <v>108</v>
      </c>
      <c r="R12" s="140" t="s">
        <v>371</v>
      </c>
      <c r="S12" s="138" t="s">
        <v>232</v>
      </c>
      <c r="T12" s="139" t="s">
        <v>227</v>
      </c>
    </row>
    <row r="13" spans="1:20" x14ac:dyDescent="0.15">
      <c r="B13" s="112">
        <v>1</v>
      </c>
      <c r="C13" s="142" t="s">
        <v>86</v>
      </c>
      <c r="D13" s="143" t="str">
        <f>IF('Input Specification and Output'!C30="","",'Input Specification and Output'!C30)</f>
        <v/>
      </c>
      <c r="E13" s="144">
        <f>Typical_1_Qty</f>
        <v>0</v>
      </c>
      <c r="F13" s="145">
        <f>'System Typicals @ Industry Std'!T20</f>
        <v>0</v>
      </c>
      <c r="G13" s="146">
        <f>IF($D13="",0,IF(Site_Delivery_Systems="Y",0,IF(Site_Delivery_Systems="N",'System Typicals @ Industry Std'!M20,0)))</f>
        <v>0</v>
      </c>
      <c r="H13" s="146">
        <f>IF($D13="",0,IF(Site_Delivery_Systems="Y",0,IF(Site_Delivery_Systems="N",'System Typicals @ Industry Std'!N20,0)))</f>
        <v>0</v>
      </c>
      <c r="I13" s="146">
        <f>IF(Site_Delivery_Systems="",0,IF(Site_Delivery_Systems="Y",0,IF(E13&lt;&gt;0,'System Typicals @ Industry Std'!U20,0)))</f>
        <v>0</v>
      </c>
      <c r="J13" s="147">
        <f t="shared" ref="J13:J18" si="0">IF(I13="",0,IF($E$7&lt;&gt;0,(I13*($E$7/35)*2),0))</f>
        <v>0</v>
      </c>
      <c r="K13" s="146">
        <f t="shared" ref="K13:K18" si="1">J13</f>
        <v>0</v>
      </c>
      <c r="L13" s="146">
        <f t="shared" ref="L13:L18" si="2">IF(Site_Delivery_Systems="Y",0,IF(Site_Delivery_Systems="N",H13/3+J13+M13,0))</f>
        <v>0</v>
      </c>
      <c r="M13" s="146">
        <f>'System Typicals @ Industry Std'!O20</f>
        <v>0</v>
      </c>
      <c r="N13" s="147">
        <f>'System Typicals @ Industry Std'!P20</f>
        <v>0</v>
      </c>
      <c r="O13" s="148">
        <f t="shared" ref="O13:O18" si="3">IF($D13="",0,IF($D$9="",1,VLOOKUP($D$9,Site_Move_Stage_Factors,2)))</f>
        <v>0</v>
      </c>
      <c r="P13" s="146">
        <f t="shared" ref="P13:P18" si="4">N13*O13</f>
        <v>0</v>
      </c>
      <c r="Q13" s="147">
        <f>'System Typicals @ Industry Std'!Q20</f>
        <v>0</v>
      </c>
      <c r="R13" s="149">
        <f t="shared" ref="R13:R18" si="5">IF($D13="",0,VLOOKUP(D13,System_Line_Correction_Factors,3))</f>
        <v>0</v>
      </c>
      <c r="S13" s="146">
        <f>IF($D13="",0,'System Typicals @ Industry Std'!Q20+'System Typicals @ Industry Std'!R20)*R13</f>
        <v>0</v>
      </c>
      <c r="T13" s="146">
        <f>'System Typicals @ Industry Std'!R20</f>
        <v>0</v>
      </c>
    </row>
    <row r="14" spans="1:20" x14ac:dyDescent="0.15">
      <c r="B14" s="112">
        <v>2</v>
      </c>
      <c r="C14" s="142" t="s">
        <v>87</v>
      </c>
      <c r="D14" s="143" t="str">
        <f>IF('Input Specification and Output'!C31="","",'Input Specification and Output'!C31)</f>
        <v/>
      </c>
      <c r="E14" s="144">
        <f>Typical_2_Qty</f>
        <v>0</v>
      </c>
      <c r="F14" s="145">
        <f>'System Typicals @ Industry Std'!T38</f>
        <v>0</v>
      </c>
      <c r="G14" s="146">
        <f>IF($D14="",0,IF(Site_Delivery_Systems="Y",0,IF(Site_Delivery_Systems="N",'System Typicals @ Industry Std'!M38,0)))</f>
        <v>0</v>
      </c>
      <c r="H14" s="146">
        <f>IF($D14="",0,IF(Site_Delivery_Systems="Y",0,IF(Site_Delivery_Systems="N",'System Typicals @ Industry Std'!N38,0)))</f>
        <v>0</v>
      </c>
      <c r="I14" s="146">
        <f>IF(Site_Delivery_Systems="",0,IF(Site_Delivery_Systems="Y",0,IF(E14&lt;&gt;0,'System Typicals @ Industry Std'!U38,0)))</f>
        <v>0</v>
      </c>
      <c r="J14" s="147">
        <f t="shared" si="0"/>
        <v>0</v>
      </c>
      <c r="K14" s="146">
        <f t="shared" si="1"/>
        <v>0</v>
      </c>
      <c r="L14" s="146">
        <f t="shared" si="2"/>
        <v>0</v>
      </c>
      <c r="M14" s="146">
        <f>'System Typicals @ Industry Std'!O38</f>
        <v>0</v>
      </c>
      <c r="N14" s="147">
        <f>'System Typicals @ Industry Std'!P38</f>
        <v>0</v>
      </c>
      <c r="O14" s="148">
        <f t="shared" si="3"/>
        <v>0</v>
      </c>
      <c r="P14" s="146">
        <f t="shared" si="4"/>
        <v>0</v>
      </c>
      <c r="Q14" s="147">
        <f>'System Typicals @ Industry Std'!Q38</f>
        <v>0</v>
      </c>
      <c r="R14" s="149">
        <f t="shared" si="5"/>
        <v>0</v>
      </c>
      <c r="S14" s="146">
        <f>IF($D14="",0,'System Typicals @ Industry Std'!Q38+'System Typicals @ Industry Std'!R38)*R14</f>
        <v>0</v>
      </c>
      <c r="T14" s="146">
        <f>'System Typicals @ Industry Std'!R38</f>
        <v>0</v>
      </c>
    </row>
    <row r="15" spans="1:20" x14ac:dyDescent="0.15">
      <c r="B15" s="112">
        <v>3</v>
      </c>
      <c r="C15" s="142" t="s">
        <v>88</v>
      </c>
      <c r="D15" s="143" t="str">
        <f>IF('Input Specification and Output'!C32="","",'Input Specification and Output'!C32)</f>
        <v/>
      </c>
      <c r="E15" s="144">
        <f>Typical_3_Qty</f>
        <v>0</v>
      </c>
      <c r="F15" s="145">
        <f>'System Typicals @ Industry Std'!T56</f>
        <v>0</v>
      </c>
      <c r="G15" s="146">
        <f>IF($D15="",0,IF(Site_Delivery_Systems="Y",0,IF(Site_Delivery_Systems="N",'System Typicals @ Industry Std'!M56,0)))</f>
        <v>0</v>
      </c>
      <c r="H15" s="146">
        <f>IF($D15="",0,IF(Site_Delivery_Systems="Y",0,IF(Site_Delivery_Systems="N",'System Typicals @ Industry Std'!N56,0)))</f>
        <v>0</v>
      </c>
      <c r="I15" s="146">
        <f>IF(Site_Delivery_Systems="",0,IF(Site_Delivery_Systems="Y",0,IF(E15&lt;&gt;0,'System Typicals @ Industry Std'!U56,0)))</f>
        <v>0</v>
      </c>
      <c r="J15" s="147">
        <f t="shared" si="0"/>
        <v>0</v>
      </c>
      <c r="K15" s="146">
        <f t="shared" si="1"/>
        <v>0</v>
      </c>
      <c r="L15" s="146">
        <f t="shared" si="2"/>
        <v>0</v>
      </c>
      <c r="M15" s="146">
        <f>'System Typicals @ Industry Std'!O56</f>
        <v>0</v>
      </c>
      <c r="N15" s="147">
        <f>'System Typicals @ Industry Std'!P56</f>
        <v>0</v>
      </c>
      <c r="O15" s="148">
        <f t="shared" si="3"/>
        <v>0</v>
      </c>
      <c r="P15" s="146">
        <f t="shared" si="4"/>
        <v>0</v>
      </c>
      <c r="Q15" s="147">
        <f>'System Typicals @ Industry Std'!Q56</f>
        <v>0</v>
      </c>
      <c r="R15" s="149">
        <f t="shared" si="5"/>
        <v>0</v>
      </c>
      <c r="S15" s="146">
        <f>IF($D15="",0,'System Typicals @ Industry Std'!Q56+'System Typicals @ Industry Std'!R56)*R15</f>
        <v>0</v>
      </c>
      <c r="T15" s="146">
        <f>'System Typicals @ Industry Std'!R56</f>
        <v>0</v>
      </c>
    </row>
    <row r="16" spans="1:20" x14ac:dyDescent="0.15">
      <c r="B16" s="112">
        <v>4</v>
      </c>
      <c r="C16" s="142" t="s">
        <v>89</v>
      </c>
      <c r="D16" s="143" t="str">
        <f>IF('Input Specification and Output'!C33="","",'Input Specification and Output'!C33)</f>
        <v/>
      </c>
      <c r="E16" s="144">
        <f>Typical_4_Qty</f>
        <v>0</v>
      </c>
      <c r="F16" s="145">
        <f>'System Typicals @ Industry Std'!T74</f>
        <v>0</v>
      </c>
      <c r="G16" s="146">
        <f>IF($D16="",0,IF(Site_Delivery_Systems="Y",0,IF(Site_Delivery_Systems="N",'System Typicals @ Industry Std'!M74,0)))</f>
        <v>0</v>
      </c>
      <c r="H16" s="146">
        <f>IF($D16="",0,IF(Site_Delivery_Systems="Y",0,IF(Site_Delivery_Systems="N",'System Typicals @ Industry Std'!N74,0)))</f>
        <v>0</v>
      </c>
      <c r="I16" s="146">
        <f>IF(Site_Delivery_Systems="",0,IF(Site_Delivery_Systems="Y",0,IF(E16&lt;&gt;0,'System Typicals @ Industry Std'!U74,0)))</f>
        <v>0</v>
      </c>
      <c r="J16" s="147">
        <f t="shared" si="0"/>
        <v>0</v>
      </c>
      <c r="K16" s="146">
        <f t="shared" si="1"/>
        <v>0</v>
      </c>
      <c r="L16" s="146">
        <f t="shared" si="2"/>
        <v>0</v>
      </c>
      <c r="M16" s="146">
        <f>'System Typicals @ Industry Std'!O74</f>
        <v>0</v>
      </c>
      <c r="N16" s="147">
        <f>'System Typicals @ Industry Std'!P74</f>
        <v>0</v>
      </c>
      <c r="O16" s="148">
        <f t="shared" si="3"/>
        <v>0</v>
      </c>
      <c r="P16" s="146">
        <f t="shared" si="4"/>
        <v>0</v>
      </c>
      <c r="Q16" s="147">
        <f>'System Typicals @ Industry Std'!Q74</f>
        <v>0</v>
      </c>
      <c r="R16" s="149">
        <f t="shared" si="5"/>
        <v>0</v>
      </c>
      <c r="S16" s="146">
        <f>IF($D16="",0,'System Typicals @ Industry Std'!Q74+'System Typicals @ Industry Std'!R74)*R16</f>
        <v>0</v>
      </c>
      <c r="T16" s="146">
        <f>'System Typicals @ Industry Std'!R74</f>
        <v>0</v>
      </c>
    </row>
    <row r="17" spans="2:20" x14ac:dyDescent="0.15">
      <c r="B17" s="112">
        <v>5</v>
      </c>
      <c r="C17" s="142" t="s">
        <v>90</v>
      </c>
      <c r="D17" s="143" t="str">
        <f>IF('Input Specification and Output'!C34="","",'Input Specification and Output'!C34)</f>
        <v/>
      </c>
      <c r="E17" s="144">
        <f>Typical_5_Qty</f>
        <v>0</v>
      </c>
      <c r="F17" s="145">
        <f>'System Typicals @ Industry Std'!T92</f>
        <v>0</v>
      </c>
      <c r="G17" s="146">
        <f>IF($D17="",0,IF(Site_Delivery_Systems="Y",0,IF(Site_Delivery_Systems="N",'System Typicals @ Industry Std'!M92,0)))</f>
        <v>0</v>
      </c>
      <c r="H17" s="146">
        <f>IF($D17="",0,IF(Site_Delivery_Systems="Y",0,IF(Site_Delivery_Systems="N",'System Typicals @ Industry Std'!N92,0)))</f>
        <v>0</v>
      </c>
      <c r="I17" s="146">
        <f>IF(Site_Delivery_Systems="",0,IF(Site_Delivery_Systems="Y",0,IF(E17&lt;&gt;0,'System Typicals @ Industry Std'!U92,0)))</f>
        <v>0</v>
      </c>
      <c r="J17" s="147">
        <f t="shared" si="0"/>
        <v>0</v>
      </c>
      <c r="K17" s="146">
        <f t="shared" si="1"/>
        <v>0</v>
      </c>
      <c r="L17" s="146">
        <f t="shared" si="2"/>
        <v>0</v>
      </c>
      <c r="M17" s="146">
        <f>'System Typicals @ Industry Std'!O92</f>
        <v>0</v>
      </c>
      <c r="N17" s="147">
        <f>'System Typicals @ Industry Std'!P92</f>
        <v>0</v>
      </c>
      <c r="O17" s="148">
        <f t="shared" si="3"/>
        <v>0</v>
      </c>
      <c r="P17" s="146">
        <f t="shared" si="4"/>
        <v>0</v>
      </c>
      <c r="Q17" s="147">
        <f>'System Typicals @ Industry Std'!Q92</f>
        <v>0</v>
      </c>
      <c r="R17" s="149">
        <f t="shared" si="5"/>
        <v>0</v>
      </c>
      <c r="S17" s="146">
        <f>IF($D17="",0,'System Typicals @ Industry Std'!Q92+'System Typicals @ Industry Std'!R92)*R17</f>
        <v>0</v>
      </c>
      <c r="T17" s="146">
        <f>'System Typicals @ Industry Std'!R92</f>
        <v>0</v>
      </c>
    </row>
    <row r="18" spans="2:20" x14ac:dyDescent="0.15">
      <c r="B18" s="112">
        <v>6</v>
      </c>
      <c r="C18" s="142" t="s">
        <v>91</v>
      </c>
      <c r="D18" s="143" t="str">
        <f>IF('Input Specification and Output'!C35="","",'Input Specification and Output'!C35)</f>
        <v/>
      </c>
      <c r="E18" s="144">
        <f>Typical_6_Qty</f>
        <v>0</v>
      </c>
      <c r="F18" s="145">
        <f>'System Typicals @ Industry Std'!T110</f>
        <v>0</v>
      </c>
      <c r="G18" s="146">
        <f>IF($D18="",0,IF(Site_Delivery_Systems="Y",0,IF(Site_Delivery_Systems="N",'System Typicals @ Industry Std'!M110,0)))</f>
        <v>0</v>
      </c>
      <c r="H18" s="146">
        <f>IF($D18="",0,IF(Site_Delivery_Systems="Y",0,IF(Site_Delivery_Systems="N",'System Typicals @ Industry Std'!N110,0)))</f>
        <v>0</v>
      </c>
      <c r="I18" s="146">
        <f>IF(Site_Delivery_Systems="",0,IF(Site_Delivery_Systems="Y",0,IF(E18&lt;&gt;0,'System Typicals @ Industry Std'!U110,0)))</f>
        <v>0</v>
      </c>
      <c r="J18" s="147">
        <f t="shared" si="0"/>
        <v>0</v>
      </c>
      <c r="K18" s="146">
        <f t="shared" si="1"/>
        <v>0</v>
      </c>
      <c r="L18" s="146">
        <f t="shared" si="2"/>
        <v>0</v>
      </c>
      <c r="M18" s="146">
        <f>'System Typicals @ Industry Std'!O110</f>
        <v>0</v>
      </c>
      <c r="N18" s="147">
        <f>'System Typicals @ Industry Std'!P110</f>
        <v>0</v>
      </c>
      <c r="O18" s="148">
        <f t="shared" si="3"/>
        <v>0</v>
      </c>
      <c r="P18" s="146">
        <f t="shared" si="4"/>
        <v>0</v>
      </c>
      <c r="Q18" s="147">
        <f>'System Typicals @ Industry Std'!Q110</f>
        <v>0</v>
      </c>
      <c r="R18" s="149">
        <f t="shared" si="5"/>
        <v>0</v>
      </c>
      <c r="S18" s="146">
        <f>IF($D18="",0,'System Typicals @ Industry Std'!Q110+'System Typicals @ Industry Std'!R110)*R18</f>
        <v>0</v>
      </c>
      <c r="T18" s="146">
        <f>'System Typicals @ Industry Std'!R110</f>
        <v>0</v>
      </c>
    </row>
    <row r="19" spans="2:20" x14ac:dyDescent="0.15">
      <c r="B19" s="112"/>
      <c r="C19" s="112"/>
      <c r="D19" s="129" t="s">
        <v>64</v>
      </c>
      <c r="E19" s="150">
        <f>SUM(E13:E18)</f>
        <v>0</v>
      </c>
      <c r="F19" s="150">
        <f>'System Typicals @ Industry Std'!T128</f>
        <v>0</v>
      </c>
      <c r="G19" s="151">
        <f>SUM(G13:G18)</f>
        <v>0</v>
      </c>
      <c r="H19" s="151">
        <f>SUM(H13:H18)</f>
        <v>0</v>
      </c>
      <c r="I19" s="151">
        <f>SUM(I13:I18)</f>
        <v>0</v>
      </c>
      <c r="K19" s="151">
        <f>SUM(K13:K18)</f>
        <v>0</v>
      </c>
      <c r="L19" s="151">
        <f>SUM(L13:L18)</f>
        <v>0</v>
      </c>
      <c r="M19" s="151">
        <f>SUM(M13:M18)</f>
        <v>0</v>
      </c>
      <c r="O19" s="152"/>
      <c r="P19" s="151">
        <f>SUM(P13:P18)</f>
        <v>0</v>
      </c>
      <c r="R19" s="153"/>
      <c r="S19" s="151">
        <f>SUM(S13:S18)</f>
        <v>0</v>
      </c>
      <c r="T19" s="151">
        <f>SUM(T13:T18)</f>
        <v>0</v>
      </c>
    </row>
    <row r="20" spans="2:20" ht="6" customHeight="1" x14ac:dyDescent="0.15">
      <c r="B20" s="112"/>
      <c r="C20" s="112"/>
      <c r="G20" s="147"/>
      <c r="H20" s="147"/>
      <c r="I20" s="147"/>
      <c r="K20" s="147"/>
      <c r="L20" s="147"/>
      <c r="M20" s="147"/>
      <c r="O20" s="152"/>
      <c r="P20" s="147"/>
      <c r="R20" s="154"/>
      <c r="S20" s="147"/>
      <c r="T20" s="147"/>
    </row>
    <row r="21" spans="2:20" x14ac:dyDescent="0.15">
      <c r="B21" s="112">
        <v>16</v>
      </c>
      <c r="C21" s="112"/>
      <c r="D21" s="143" t="str">
        <f>IF('Input Specification and Output'!B59="","",'Input Specification and Output'!B59)</f>
        <v/>
      </c>
      <c r="E21" s="155">
        <f>'Input Specification and Output'!E59</f>
        <v>0</v>
      </c>
      <c r="F21" s="156">
        <f t="shared" ref="F21:F33" si="6">IF($D21="",0,IF(E21="",0,E21*VLOOKUP(D21,Casegoods_National_Industry_Standards,5)))</f>
        <v>0</v>
      </c>
      <c r="G21" s="157">
        <f t="shared" ref="G21:G33" si="7">IF($D21="",0,IF(Site_Delivery_Casegoods="Y",0,IF(Site_Delivery_Casegoods="N",VLOOKUP($D21,Casegoods_National_Industry_Standards,7))))*E21/60</f>
        <v>0</v>
      </c>
      <c r="H21" s="157">
        <f t="shared" ref="H21:H33" si="8">IF($D21="",0,IF(Site_Delivery_Casegoods="Y",0,IF(Site_Delivery_Casegoods="N",VLOOKUP($D21,Casegoods_National_Industry_Standards,8))))*E21/60</f>
        <v>0</v>
      </c>
      <c r="I21" s="157">
        <f t="shared" ref="I21:I33" si="9">IF($D21="",0,IF(Site_Delivery_Casegoods="",0,IF(Site_Delivery_Casegoods="Y",0,IF(E21&lt;&gt;0,(E21*(VLOOKUP(D21,Casegoods_National_Industry_Standards,5)))/922,0))))</f>
        <v>0</v>
      </c>
      <c r="J21" s="147">
        <f t="shared" ref="J21:J33" si="10">IF(I21="",0,IF($E$7&lt;&gt;0,(I21*($E$7/35)*2),0))</f>
        <v>0</v>
      </c>
      <c r="K21" s="157">
        <f t="shared" ref="K21:K33" si="11">J21</f>
        <v>0</v>
      </c>
      <c r="L21" s="146">
        <f t="shared" ref="L21:L33" si="12">IF(Site_Delivery_Casegoods="Y",0,IF(Site_Delivery_Casegoods="N",H21/3+J21+M21,0))</f>
        <v>0</v>
      </c>
      <c r="M21" s="157">
        <f t="shared" ref="M21:M33" si="13">IF($D21="",0,IF($E21="",0,VLOOKUP($D21,Casegoods_National_Industry_Standards,10))*$E21/60)</f>
        <v>0</v>
      </c>
      <c r="N21" s="158">
        <f t="shared" ref="N21:N33" si="14">IF($D21="",0,IF($E21="",0,VLOOKUP($D21,Casegoods_National_Industry_Standards,11))*$E21/60)</f>
        <v>0</v>
      </c>
      <c r="O21" s="148">
        <f t="shared" ref="O21:O33" si="15">IF($D21="",0,IF($D$9="",1,VLOOKUP($D$9,Site_Move_Stage_Factors,2)))</f>
        <v>0</v>
      </c>
      <c r="P21" s="157">
        <f>N21*O21</f>
        <v>0</v>
      </c>
      <c r="Q21" s="158">
        <f t="shared" ref="Q21:Q33" si="16">IF($D21="",0,IF($E21="",0,VLOOKUP($D21,Casegoods_National_Industry_Standards,13))*$E21/60)</f>
        <v>0</v>
      </c>
      <c r="R21" s="154"/>
      <c r="S21" s="157">
        <f>Q21</f>
        <v>0</v>
      </c>
      <c r="T21" s="157">
        <f t="shared" ref="T21:T33" si="17">IF($D21="",0,IF($E21="",0,VLOOKUP($D21,Casegoods_National_Industry_Standards,14))*$E21/60)</f>
        <v>0</v>
      </c>
    </row>
    <row r="22" spans="2:20" x14ac:dyDescent="0.15">
      <c r="B22" s="112">
        <v>17</v>
      </c>
      <c r="C22" s="112"/>
      <c r="D22" s="143" t="str">
        <f>IF('Input Specification and Output'!B60="","",'Input Specification and Output'!B60)</f>
        <v/>
      </c>
      <c r="E22" s="155">
        <f>'Input Specification and Output'!E60</f>
        <v>0</v>
      </c>
      <c r="F22" s="156">
        <f t="shared" si="6"/>
        <v>0</v>
      </c>
      <c r="G22" s="157">
        <f t="shared" si="7"/>
        <v>0</v>
      </c>
      <c r="H22" s="157">
        <f t="shared" si="8"/>
        <v>0</v>
      </c>
      <c r="I22" s="157">
        <f t="shared" si="9"/>
        <v>0</v>
      </c>
      <c r="J22" s="147">
        <f t="shared" si="10"/>
        <v>0</v>
      </c>
      <c r="K22" s="157">
        <f t="shared" si="11"/>
        <v>0</v>
      </c>
      <c r="L22" s="146">
        <f t="shared" si="12"/>
        <v>0</v>
      </c>
      <c r="M22" s="157">
        <f t="shared" si="13"/>
        <v>0</v>
      </c>
      <c r="N22" s="158">
        <f t="shared" si="14"/>
        <v>0</v>
      </c>
      <c r="O22" s="148">
        <f t="shared" si="15"/>
        <v>0</v>
      </c>
      <c r="P22" s="157">
        <f>N22*O22</f>
        <v>0</v>
      </c>
      <c r="Q22" s="158">
        <f t="shared" si="16"/>
        <v>0</v>
      </c>
      <c r="R22" s="154"/>
      <c r="S22" s="157">
        <f>Q22</f>
        <v>0</v>
      </c>
      <c r="T22" s="157">
        <f t="shared" si="17"/>
        <v>0</v>
      </c>
    </row>
    <row r="23" spans="2:20" x14ac:dyDescent="0.15">
      <c r="B23" s="112">
        <v>18</v>
      </c>
      <c r="C23" s="112"/>
      <c r="D23" s="143" t="str">
        <f>IF('Input Specification and Output'!B61="","",'Input Specification and Output'!B61)</f>
        <v/>
      </c>
      <c r="E23" s="155">
        <f>'Input Specification and Output'!E61</f>
        <v>0</v>
      </c>
      <c r="F23" s="156">
        <f t="shared" si="6"/>
        <v>0</v>
      </c>
      <c r="G23" s="157">
        <f t="shared" si="7"/>
        <v>0</v>
      </c>
      <c r="H23" s="157">
        <f t="shared" si="8"/>
        <v>0</v>
      </c>
      <c r="I23" s="157">
        <f t="shared" si="9"/>
        <v>0</v>
      </c>
      <c r="J23" s="147">
        <f t="shared" si="10"/>
        <v>0</v>
      </c>
      <c r="K23" s="157">
        <f t="shared" si="11"/>
        <v>0</v>
      </c>
      <c r="L23" s="146">
        <f t="shared" si="12"/>
        <v>0</v>
      </c>
      <c r="M23" s="157">
        <f t="shared" si="13"/>
        <v>0</v>
      </c>
      <c r="N23" s="158">
        <f t="shared" si="14"/>
        <v>0</v>
      </c>
      <c r="O23" s="148">
        <f t="shared" si="15"/>
        <v>0</v>
      </c>
      <c r="P23" s="157">
        <f>N23*O23</f>
        <v>0</v>
      </c>
      <c r="Q23" s="158">
        <f t="shared" si="16"/>
        <v>0</v>
      </c>
      <c r="R23" s="154"/>
      <c r="S23" s="157">
        <f>Q23</f>
        <v>0</v>
      </c>
      <c r="T23" s="157">
        <f t="shared" si="17"/>
        <v>0</v>
      </c>
    </row>
    <row r="24" spans="2:20" x14ac:dyDescent="0.15">
      <c r="B24" s="112">
        <v>19</v>
      </c>
      <c r="C24" s="112"/>
      <c r="D24" s="143" t="str">
        <f>IF('Input Specification and Output'!B62="","",'Input Specification and Output'!B62)</f>
        <v/>
      </c>
      <c r="E24" s="155">
        <f>'Input Specification and Output'!E62</f>
        <v>0</v>
      </c>
      <c r="F24" s="156">
        <f t="shared" si="6"/>
        <v>0</v>
      </c>
      <c r="G24" s="157">
        <f t="shared" si="7"/>
        <v>0</v>
      </c>
      <c r="H24" s="157">
        <f t="shared" si="8"/>
        <v>0</v>
      </c>
      <c r="I24" s="157">
        <f t="shared" si="9"/>
        <v>0</v>
      </c>
      <c r="J24" s="147">
        <f t="shared" si="10"/>
        <v>0</v>
      </c>
      <c r="K24" s="157">
        <f t="shared" si="11"/>
        <v>0</v>
      </c>
      <c r="L24" s="146">
        <f t="shared" si="12"/>
        <v>0</v>
      </c>
      <c r="M24" s="157">
        <f t="shared" si="13"/>
        <v>0</v>
      </c>
      <c r="N24" s="158">
        <f t="shared" si="14"/>
        <v>0</v>
      </c>
      <c r="O24" s="148">
        <f t="shared" si="15"/>
        <v>0</v>
      </c>
      <c r="P24" s="157">
        <f>N24*O24</f>
        <v>0</v>
      </c>
      <c r="Q24" s="158">
        <f t="shared" si="16"/>
        <v>0</v>
      </c>
      <c r="R24" s="154"/>
      <c r="S24" s="157">
        <f>Q24</f>
        <v>0</v>
      </c>
      <c r="T24" s="157">
        <f t="shared" si="17"/>
        <v>0</v>
      </c>
    </row>
    <row r="25" spans="2:20" x14ac:dyDescent="0.15">
      <c r="B25" s="112">
        <v>20</v>
      </c>
      <c r="C25" s="112"/>
      <c r="D25" s="143" t="str">
        <f>IF('Input Specification and Output'!B63="","",'Input Specification and Output'!B63)</f>
        <v/>
      </c>
      <c r="E25" s="155">
        <f>'Input Specification and Output'!E63</f>
        <v>0</v>
      </c>
      <c r="F25" s="156">
        <f t="shared" si="6"/>
        <v>0</v>
      </c>
      <c r="G25" s="157">
        <f t="shared" si="7"/>
        <v>0</v>
      </c>
      <c r="H25" s="157">
        <f t="shared" si="8"/>
        <v>0</v>
      </c>
      <c r="I25" s="157">
        <f t="shared" si="9"/>
        <v>0</v>
      </c>
      <c r="J25" s="147">
        <f t="shared" si="10"/>
        <v>0</v>
      </c>
      <c r="K25" s="157">
        <f t="shared" si="11"/>
        <v>0</v>
      </c>
      <c r="L25" s="146">
        <f t="shared" si="12"/>
        <v>0</v>
      </c>
      <c r="M25" s="157">
        <f t="shared" si="13"/>
        <v>0</v>
      </c>
      <c r="N25" s="158">
        <f t="shared" si="14"/>
        <v>0</v>
      </c>
      <c r="O25" s="148">
        <f t="shared" si="15"/>
        <v>0</v>
      </c>
      <c r="P25" s="157">
        <f t="shared" ref="P25:P33" si="18">N25*O25</f>
        <v>0</v>
      </c>
      <c r="Q25" s="158">
        <f t="shared" si="16"/>
        <v>0</v>
      </c>
      <c r="R25" s="154"/>
      <c r="S25" s="157">
        <f t="shared" ref="S25:S33" si="19">Q25</f>
        <v>0</v>
      </c>
      <c r="T25" s="157">
        <f t="shared" si="17"/>
        <v>0</v>
      </c>
    </row>
    <row r="26" spans="2:20" x14ac:dyDescent="0.15">
      <c r="B26" s="112">
        <v>21</v>
      </c>
      <c r="C26" s="112"/>
      <c r="D26" s="143" t="str">
        <f>IF('Input Specification and Output'!B64="","",'Input Specification and Output'!B64)</f>
        <v/>
      </c>
      <c r="E26" s="155">
        <f>'Input Specification and Output'!E64</f>
        <v>0</v>
      </c>
      <c r="F26" s="156">
        <f t="shared" si="6"/>
        <v>0</v>
      </c>
      <c r="G26" s="157">
        <f t="shared" si="7"/>
        <v>0</v>
      </c>
      <c r="H26" s="157">
        <f t="shared" si="8"/>
        <v>0</v>
      </c>
      <c r="I26" s="157">
        <f t="shared" si="9"/>
        <v>0</v>
      </c>
      <c r="J26" s="147">
        <f t="shared" si="10"/>
        <v>0</v>
      </c>
      <c r="K26" s="157">
        <f t="shared" si="11"/>
        <v>0</v>
      </c>
      <c r="L26" s="146">
        <f t="shared" si="12"/>
        <v>0</v>
      </c>
      <c r="M26" s="157">
        <f t="shared" si="13"/>
        <v>0</v>
      </c>
      <c r="N26" s="158">
        <f t="shared" si="14"/>
        <v>0</v>
      </c>
      <c r="O26" s="148">
        <f t="shared" si="15"/>
        <v>0</v>
      </c>
      <c r="P26" s="157">
        <f t="shared" si="18"/>
        <v>0</v>
      </c>
      <c r="Q26" s="158">
        <f t="shared" si="16"/>
        <v>0</v>
      </c>
      <c r="R26" s="154"/>
      <c r="S26" s="157">
        <f t="shared" si="19"/>
        <v>0</v>
      </c>
      <c r="T26" s="157">
        <f t="shared" si="17"/>
        <v>0</v>
      </c>
    </row>
    <row r="27" spans="2:20" x14ac:dyDescent="0.15">
      <c r="B27" s="112">
        <v>22</v>
      </c>
      <c r="C27" s="112"/>
      <c r="D27" s="143" t="str">
        <f>IF('Input Specification and Output'!B65="","",'Input Specification and Output'!B65)</f>
        <v/>
      </c>
      <c r="E27" s="155">
        <f>'Input Specification and Output'!E65</f>
        <v>0</v>
      </c>
      <c r="F27" s="156">
        <f t="shared" si="6"/>
        <v>0</v>
      </c>
      <c r="G27" s="157">
        <f t="shared" si="7"/>
        <v>0</v>
      </c>
      <c r="H27" s="157">
        <f t="shared" si="8"/>
        <v>0</v>
      </c>
      <c r="I27" s="157">
        <f t="shared" si="9"/>
        <v>0</v>
      </c>
      <c r="J27" s="147">
        <f t="shared" si="10"/>
        <v>0</v>
      </c>
      <c r="K27" s="157">
        <f t="shared" si="11"/>
        <v>0</v>
      </c>
      <c r="L27" s="146">
        <f t="shared" si="12"/>
        <v>0</v>
      </c>
      <c r="M27" s="157">
        <f t="shared" si="13"/>
        <v>0</v>
      </c>
      <c r="N27" s="158">
        <f t="shared" si="14"/>
        <v>0</v>
      </c>
      <c r="O27" s="148">
        <f t="shared" si="15"/>
        <v>0</v>
      </c>
      <c r="P27" s="157">
        <f t="shared" si="18"/>
        <v>0</v>
      </c>
      <c r="Q27" s="158">
        <f t="shared" si="16"/>
        <v>0</v>
      </c>
      <c r="R27" s="154"/>
      <c r="S27" s="157">
        <f t="shared" si="19"/>
        <v>0</v>
      </c>
      <c r="T27" s="157">
        <f t="shared" si="17"/>
        <v>0</v>
      </c>
    </row>
    <row r="28" spans="2:20" x14ac:dyDescent="0.15">
      <c r="B28" s="112">
        <v>23</v>
      </c>
      <c r="C28" s="112"/>
      <c r="D28" s="143" t="str">
        <f>IF('Input Specification and Output'!B66="","",'Input Specification and Output'!B66)</f>
        <v/>
      </c>
      <c r="E28" s="155">
        <f>'Input Specification and Output'!E66</f>
        <v>0</v>
      </c>
      <c r="F28" s="156">
        <f t="shared" si="6"/>
        <v>0</v>
      </c>
      <c r="G28" s="157">
        <f t="shared" si="7"/>
        <v>0</v>
      </c>
      <c r="H28" s="157">
        <f t="shared" si="8"/>
        <v>0</v>
      </c>
      <c r="I28" s="157">
        <f t="shared" si="9"/>
        <v>0</v>
      </c>
      <c r="J28" s="147">
        <f t="shared" si="10"/>
        <v>0</v>
      </c>
      <c r="K28" s="157">
        <f t="shared" si="11"/>
        <v>0</v>
      </c>
      <c r="L28" s="146">
        <f t="shared" si="12"/>
        <v>0</v>
      </c>
      <c r="M28" s="157">
        <f t="shared" si="13"/>
        <v>0</v>
      </c>
      <c r="N28" s="158">
        <f t="shared" si="14"/>
        <v>0</v>
      </c>
      <c r="O28" s="148">
        <f t="shared" si="15"/>
        <v>0</v>
      </c>
      <c r="P28" s="157">
        <f t="shared" si="18"/>
        <v>0</v>
      </c>
      <c r="Q28" s="158">
        <f t="shared" si="16"/>
        <v>0</v>
      </c>
      <c r="R28" s="154"/>
      <c r="S28" s="157">
        <f t="shared" si="19"/>
        <v>0</v>
      </c>
      <c r="T28" s="157">
        <f t="shared" si="17"/>
        <v>0</v>
      </c>
    </row>
    <row r="29" spans="2:20" x14ac:dyDescent="0.15">
      <c r="B29" s="112">
        <v>24</v>
      </c>
      <c r="C29" s="112"/>
      <c r="D29" s="143" t="str">
        <f>IF('Input Specification and Output'!B67="","",'Input Specification and Output'!B67)</f>
        <v/>
      </c>
      <c r="E29" s="155">
        <f>'Input Specification and Output'!E67</f>
        <v>0</v>
      </c>
      <c r="F29" s="156">
        <f t="shared" si="6"/>
        <v>0</v>
      </c>
      <c r="G29" s="157">
        <f t="shared" si="7"/>
        <v>0</v>
      </c>
      <c r="H29" s="157">
        <f t="shared" si="8"/>
        <v>0</v>
      </c>
      <c r="I29" s="157">
        <f t="shared" si="9"/>
        <v>0</v>
      </c>
      <c r="J29" s="147">
        <f t="shared" si="10"/>
        <v>0</v>
      </c>
      <c r="K29" s="157">
        <f t="shared" si="11"/>
        <v>0</v>
      </c>
      <c r="L29" s="146">
        <f t="shared" si="12"/>
        <v>0</v>
      </c>
      <c r="M29" s="157">
        <f t="shared" si="13"/>
        <v>0</v>
      </c>
      <c r="N29" s="158">
        <f t="shared" si="14"/>
        <v>0</v>
      </c>
      <c r="O29" s="148">
        <f t="shared" si="15"/>
        <v>0</v>
      </c>
      <c r="P29" s="157">
        <f t="shared" si="18"/>
        <v>0</v>
      </c>
      <c r="Q29" s="158">
        <f t="shared" si="16"/>
        <v>0</v>
      </c>
      <c r="R29" s="154"/>
      <c r="S29" s="157">
        <f t="shared" si="19"/>
        <v>0</v>
      </c>
      <c r="T29" s="157">
        <f t="shared" si="17"/>
        <v>0</v>
      </c>
    </row>
    <row r="30" spans="2:20" x14ac:dyDescent="0.15">
      <c r="B30" s="112">
        <v>25</v>
      </c>
      <c r="C30" s="112"/>
      <c r="D30" s="143" t="str">
        <f>IF('Input Specification and Output'!B68="","",'Input Specification and Output'!B68)</f>
        <v/>
      </c>
      <c r="E30" s="155">
        <f>'Input Specification and Output'!E68</f>
        <v>0</v>
      </c>
      <c r="F30" s="156">
        <f t="shared" si="6"/>
        <v>0</v>
      </c>
      <c r="G30" s="157">
        <f t="shared" si="7"/>
        <v>0</v>
      </c>
      <c r="H30" s="157">
        <f t="shared" si="8"/>
        <v>0</v>
      </c>
      <c r="I30" s="157">
        <f t="shared" si="9"/>
        <v>0</v>
      </c>
      <c r="J30" s="147">
        <f t="shared" si="10"/>
        <v>0</v>
      </c>
      <c r="K30" s="157">
        <f t="shared" si="11"/>
        <v>0</v>
      </c>
      <c r="L30" s="146">
        <f t="shared" si="12"/>
        <v>0</v>
      </c>
      <c r="M30" s="157">
        <f t="shared" si="13"/>
        <v>0</v>
      </c>
      <c r="N30" s="158">
        <f t="shared" si="14"/>
        <v>0</v>
      </c>
      <c r="O30" s="148">
        <f t="shared" si="15"/>
        <v>0</v>
      </c>
      <c r="P30" s="157">
        <f t="shared" si="18"/>
        <v>0</v>
      </c>
      <c r="Q30" s="158">
        <f t="shared" si="16"/>
        <v>0</v>
      </c>
      <c r="R30" s="154"/>
      <c r="S30" s="157">
        <f t="shared" si="19"/>
        <v>0</v>
      </c>
      <c r="T30" s="157">
        <f t="shared" si="17"/>
        <v>0</v>
      </c>
    </row>
    <row r="31" spans="2:20" x14ac:dyDescent="0.15">
      <c r="B31" s="112">
        <v>26</v>
      </c>
      <c r="C31" s="112"/>
      <c r="D31" s="143" t="str">
        <f>IF('Input Specification and Output'!B69="","",'Input Specification and Output'!B69)</f>
        <v/>
      </c>
      <c r="E31" s="155">
        <f>'Input Specification and Output'!E69</f>
        <v>0</v>
      </c>
      <c r="F31" s="156">
        <f t="shared" si="6"/>
        <v>0</v>
      </c>
      <c r="G31" s="157">
        <f t="shared" si="7"/>
        <v>0</v>
      </c>
      <c r="H31" s="157">
        <f t="shared" si="8"/>
        <v>0</v>
      </c>
      <c r="I31" s="157">
        <f t="shared" si="9"/>
        <v>0</v>
      </c>
      <c r="J31" s="147">
        <f t="shared" si="10"/>
        <v>0</v>
      </c>
      <c r="K31" s="157">
        <f t="shared" si="11"/>
        <v>0</v>
      </c>
      <c r="L31" s="146">
        <f t="shared" si="12"/>
        <v>0</v>
      </c>
      <c r="M31" s="157">
        <f t="shared" si="13"/>
        <v>0</v>
      </c>
      <c r="N31" s="158">
        <f t="shared" si="14"/>
        <v>0</v>
      </c>
      <c r="O31" s="148">
        <f t="shared" si="15"/>
        <v>0</v>
      </c>
      <c r="P31" s="157">
        <f t="shared" si="18"/>
        <v>0</v>
      </c>
      <c r="Q31" s="158">
        <f t="shared" si="16"/>
        <v>0</v>
      </c>
      <c r="R31" s="154"/>
      <c r="S31" s="157">
        <f t="shared" si="19"/>
        <v>0</v>
      </c>
      <c r="T31" s="157">
        <f t="shared" si="17"/>
        <v>0</v>
      </c>
    </row>
    <row r="32" spans="2:20" x14ac:dyDescent="0.15">
      <c r="B32" s="112">
        <v>27</v>
      </c>
      <c r="C32" s="112"/>
      <c r="D32" s="143" t="str">
        <f>IF('Input Specification and Output'!B70="","",'Input Specification and Output'!B70)</f>
        <v/>
      </c>
      <c r="E32" s="155">
        <f>'Input Specification and Output'!E70</f>
        <v>0</v>
      </c>
      <c r="F32" s="156">
        <f t="shared" si="6"/>
        <v>0</v>
      </c>
      <c r="G32" s="157">
        <f t="shared" si="7"/>
        <v>0</v>
      </c>
      <c r="H32" s="157">
        <f t="shared" si="8"/>
        <v>0</v>
      </c>
      <c r="I32" s="157">
        <f t="shared" si="9"/>
        <v>0</v>
      </c>
      <c r="J32" s="147">
        <f t="shared" si="10"/>
        <v>0</v>
      </c>
      <c r="K32" s="157">
        <f t="shared" si="11"/>
        <v>0</v>
      </c>
      <c r="L32" s="146">
        <f t="shared" si="12"/>
        <v>0</v>
      </c>
      <c r="M32" s="157">
        <f t="shared" si="13"/>
        <v>0</v>
      </c>
      <c r="N32" s="158">
        <f t="shared" si="14"/>
        <v>0</v>
      </c>
      <c r="O32" s="148">
        <f t="shared" si="15"/>
        <v>0</v>
      </c>
      <c r="P32" s="157">
        <f t="shared" si="18"/>
        <v>0</v>
      </c>
      <c r="Q32" s="158">
        <f t="shared" si="16"/>
        <v>0</v>
      </c>
      <c r="R32" s="154"/>
      <c r="S32" s="157">
        <f t="shared" si="19"/>
        <v>0</v>
      </c>
      <c r="T32" s="157">
        <f t="shared" si="17"/>
        <v>0</v>
      </c>
    </row>
    <row r="33" spans="2:20" x14ac:dyDescent="0.15">
      <c r="B33" s="112">
        <v>28</v>
      </c>
      <c r="C33" s="112"/>
      <c r="D33" s="143" t="str">
        <f>IF('Input Specification and Output'!B71="","",'Input Specification and Output'!B71)</f>
        <v/>
      </c>
      <c r="E33" s="155">
        <f>'Input Specification and Output'!E71</f>
        <v>0</v>
      </c>
      <c r="F33" s="156">
        <f t="shared" si="6"/>
        <v>0</v>
      </c>
      <c r="G33" s="157">
        <f t="shared" si="7"/>
        <v>0</v>
      </c>
      <c r="H33" s="157">
        <f t="shared" si="8"/>
        <v>0</v>
      </c>
      <c r="I33" s="157">
        <f t="shared" si="9"/>
        <v>0</v>
      </c>
      <c r="J33" s="147">
        <f t="shared" si="10"/>
        <v>0</v>
      </c>
      <c r="K33" s="157">
        <f t="shared" si="11"/>
        <v>0</v>
      </c>
      <c r="L33" s="146">
        <f t="shared" si="12"/>
        <v>0</v>
      </c>
      <c r="M33" s="157">
        <f t="shared" si="13"/>
        <v>0</v>
      </c>
      <c r="N33" s="158">
        <f t="shared" si="14"/>
        <v>0</v>
      </c>
      <c r="O33" s="148">
        <f t="shared" si="15"/>
        <v>0</v>
      </c>
      <c r="P33" s="157">
        <f t="shared" si="18"/>
        <v>0</v>
      </c>
      <c r="Q33" s="158">
        <f t="shared" si="16"/>
        <v>0</v>
      </c>
      <c r="R33" s="154"/>
      <c r="S33" s="157">
        <f t="shared" si="19"/>
        <v>0</v>
      </c>
      <c r="T33" s="157">
        <f t="shared" si="17"/>
        <v>0</v>
      </c>
    </row>
    <row r="34" spans="2:20" x14ac:dyDescent="0.15">
      <c r="D34" s="129" t="s">
        <v>255</v>
      </c>
      <c r="E34" s="150">
        <f>SUM(E21:E33)</f>
        <v>0</v>
      </c>
      <c r="F34" s="150">
        <f>SUM(F21:F33)</f>
        <v>0</v>
      </c>
      <c r="G34" s="151">
        <f>SUM(G21:G33)</f>
        <v>0</v>
      </c>
      <c r="H34" s="151">
        <f>SUM(H21:H33)</f>
        <v>0</v>
      </c>
      <c r="I34" s="151">
        <f>SUM(I21:I33)</f>
        <v>0</v>
      </c>
      <c r="J34" s="159"/>
      <c r="K34" s="151">
        <f>SUM(K21:K33)</f>
        <v>0</v>
      </c>
      <c r="L34" s="151">
        <f>SUM(L21:L33)</f>
        <v>0</v>
      </c>
      <c r="M34" s="151">
        <f>SUM(M21:M33)</f>
        <v>0</v>
      </c>
      <c r="N34" s="160"/>
      <c r="O34" s="160"/>
      <c r="P34" s="151">
        <f>SUM(P21:P33)</f>
        <v>0</v>
      </c>
      <c r="S34" s="151">
        <f>SUM(S21:S33)</f>
        <v>0</v>
      </c>
      <c r="T34" s="151">
        <f>SUM(T21:T33)</f>
        <v>0</v>
      </c>
    </row>
    <row r="35" spans="2:20" x14ac:dyDescent="0.15">
      <c r="D35" s="129"/>
      <c r="E35" s="159"/>
      <c r="F35" s="159"/>
      <c r="G35" s="160"/>
      <c r="H35" s="160"/>
      <c r="I35" s="160"/>
      <c r="J35" s="159"/>
      <c r="K35" s="160"/>
      <c r="L35" s="160"/>
      <c r="M35" s="160"/>
      <c r="N35" s="159"/>
      <c r="O35" s="160"/>
      <c r="P35" s="160"/>
      <c r="Q35" s="159"/>
      <c r="S35" s="160"/>
      <c r="T35" s="160"/>
    </row>
    <row r="36" spans="2:20" ht="14" thickBot="1" x14ac:dyDescent="0.2">
      <c r="D36" s="129" t="s">
        <v>98</v>
      </c>
      <c r="E36" s="161">
        <f>(E19+E34)</f>
        <v>0</v>
      </c>
      <c r="F36" s="161">
        <f>(F19+F34)</f>
        <v>0</v>
      </c>
      <c r="G36" s="162">
        <f>(G19+G34)</f>
        <v>0</v>
      </c>
      <c r="H36" s="162">
        <f>(H19+H34)</f>
        <v>0</v>
      </c>
      <c r="I36" s="162">
        <f>(I19+I34)</f>
        <v>0</v>
      </c>
      <c r="J36" s="159"/>
      <c r="K36" s="162">
        <f>(K19+K34)</f>
        <v>0</v>
      </c>
      <c r="L36" s="162">
        <f>(L19+L34)</f>
        <v>0</v>
      </c>
      <c r="M36" s="162">
        <f>(M19+M34)</f>
        <v>0</v>
      </c>
      <c r="N36" s="160"/>
      <c r="O36" s="160"/>
      <c r="P36" s="162">
        <f>(P19+P34)</f>
        <v>0</v>
      </c>
      <c r="S36" s="162">
        <f>(S19+S34)</f>
        <v>0</v>
      </c>
      <c r="T36" s="162">
        <f>(T19+T34)</f>
        <v>0</v>
      </c>
    </row>
    <row r="37" spans="2:20" ht="14" thickTop="1" x14ac:dyDescent="0.15"/>
  </sheetData>
  <mergeCells count="4">
    <mergeCell ref="G11:H11"/>
    <mergeCell ref="I11:L11"/>
    <mergeCell ref="N11:P11"/>
    <mergeCell ref="Q11:S11"/>
  </mergeCells>
  <phoneticPr fontId="2" type="noConversion"/>
  <dataValidations count="6">
    <dataValidation type="whole" allowBlank="1" showInputMessage="1" showErrorMessage="1" error="Enter a quantity from 1 to 500." prompt="Enter a quantity from 1 to 500." sqref="E25:E33 E23">
      <formula1>1</formula1>
      <formula2>500</formula2>
    </dataValidation>
    <dataValidation allowBlank="1" showInputMessage="1" showErrorMessage="1" error="Will manufacturer ship directly to job site? (Y or N?)" prompt="Will manufacturer ship directly to job site? (Y or N?)_x000a_" sqref="E4:E5"/>
    <dataValidation type="list" allowBlank="1" showInputMessage="1" showErrorMessage="1" sqref="D9">
      <formula1>Site_Conditions</formula1>
    </dataValidation>
    <dataValidation type="list" allowBlank="1" showInputMessage="1" showErrorMessage="1" error="Select the system line being installed." prompt="Select the system line being installed." sqref="D13:D18">
      <formula1>System_Line</formula1>
    </dataValidation>
    <dataValidation type="list" allowBlank="1" showInputMessage="1" showErrorMessage="1" error="Select the furniture product category being installed." prompt="Select the furniture product category being installed." sqref="D21:D33">
      <formula1>Casegoods_Line</formula1>
    </dataValidation>
    <dataValidation type="whole" allowBlank="1" showInputMessage="1" showErrorMessage="1" error="Enter a quantity from 1 to 1,000." prompt="Enter a quantity from 1 to 1,000." sqref="E21:E22 E24">
      <formula1>1</formula1>
      <formula2>1000</formula2>
    </dataValidation>
  </dataValidations>
  <pageMargins left="0.5" right="0.5" top="0.5" bottom="0.5" header="0.5" footer="0.25"/>
  <pageSetup scale="55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pageSetUpPr fitToPage="1"/>
  </sheetPr>
  <dimension ref="A1:L75"/>
  <sheetViews>
    <sheetView workbookViewId="0">
      <pane xSplit="3" ySplit="5" topLeftCell="D24" activePane="bottomRight" state="frozen"/>
      <selection activeCell="Y88" sqref="Y88"/>
      <selection pane="topRight" activeCell="Y88" sqref="Y88"/>
      <selection pane="bottomLeft" activeCell="Y88" sqref="Y88"/>
      <selection pane="bottomRight" activeCell="D53" sqref="D53"/>
    </sheetView>
  </sheetViews>
  <sheetFormatPr baseColWidth="10" defaultColWidth="8.83203125" defaultRowHeight="13" x14ac:dyDescent="0.15"/>
  <cols>
    <col min="1" max="2" customWidth="true" style="109" width="3.6640625" collapsed="true"/>
    <col min="3" max="3" customWidth="true" style="109" width="40.6640625" collapsed="true"/>
    <col min="4" max="18" customWidth="true" style="109" width="11.6640625" collapsed="true"/>
    <col min="19" max="20" customWidth="true" style="109" width="10.6640625" collapsed="true"/>
    <col min="21" max="16384" style="109" width="8.83203125" collapsed="true"/>
  </cols>
  <sheetData>
    <row r="1" spans="1:12" ht="18" x14ac:dyDescent="0.2">
      <c r="A1" s="108" t="s">
        <v>100</v>
      </c>
      <c r="B1" s="108"/>
    </row>
    <row r="2" spans="1:12" ht="18" x14ac:dyDescent="0.2">
      <c r="A2" s="108" t="s">
        <v>101</v>
      </c>
      <c r="B2" s="108"/>
    </row>
    <row r="3" spans="1:12" ht="14" thickBot="1" x14ac:dyDescent="0.2"/>
    <row r="4" spans="1:12" ht="17" thickBot="1" x14ac:dyDescent="0.25">
      <c r="D4" s="581" t="s">
        <v>134</v>
      </c>
      <c r="E4" s="582"/>
      <c r="F4" s="582"/>
      <c r="G4" s="582"/>
      <c r="H4" s="582"/>
      <c r="I4" s="583"/>
    </row>
    <row r="5" spans="1:12" x14ac:dyDescent="0.15">
      <c r="D5" s="133" t="s">
        <v>86</v>
      </c>
      <c r="E5" s="133" t="s">
        <v>87</v>
      </c>
      <c r="F5" s="133" t="s">
        <v>88</v>
      </c>
      <c r="G5" s="133" t="s">
        <v>89</v>
      </c>
      <c r="H5" s="133" t="s">
        <v>90</v>
      </c>
      <c r="I5" s="133" t="s">
        <v>91</v>
      </c>
      <c r="J5" s="166" t="s">
        <v>98</v>
      </c>
    </row>
    <row r="6" spans="1:12" x14ac:dyDescent="0.15">
      <c r="C6" s="129" t="s">
        <v>92</v>
      </c>
      <c r="D6" s="167">
        <f>'Input Specification and Output'!E38</f>
        <v>0</v>
      </c>
      <c r="E6" s="167">
        <f>'Input Specification and Output'!F38</f>
        <v>0</v>
      </c>
      <c r="F6" s="167">
        <f>'Input Specification and Output'!G38</f>
        <v>0</v>
      </c>
      <c r="G6" s="167">
        <f>'Input Specification and Output'!H38</f>
        <v>0</v>
      </c>
      <c r="H6" s="167">
        <f>'Input Specification and Output'!I38</f>
        <v>0</v>
      </c>
      <c r="I6" s="167">
        <f>'Input Specification and Output'!J38</f>
        <v>0</v>
      </c>
      <c r="J6" s="168">
        <f>SUM(D6:I6)</f>
        <v>0</v>
      </c>
    </row>
    <row r="7" spans="1:12" x14ac:dyDescent="0.15">
      <c r="C7" s="129" t="s">
        <v>137</v>
      </c>
      <c r="D7" s="169">
        <f>'Input Specification and Output'!E39</f>
        <v>0</v>
      </c>
      <c r="E7" s="169">
        <f>'Input Specification and Output'!F39</f>
        <v>0</v>
      </c>
      <c r="F7" s="169">
        <f>'Input Specification and Output'!G39</f>
        <v>0</v>
      </c>
      <c r="G7" s="169">
        <f>'Input Specification and Output'!H39</f>
        <v>0</v>
      </c>
      <c r="H7" s="169">
        <f>'Input Specification and Output'!I39</f>
        <v>0</v>
      </c>
      <c r="I7" s="169">
        <f>'Input Specification and Output'!J39</f>
        <v>0</v>
      </c>
      <c r="J7" s="170"/>
    </row>
    <row r="8" spans="1:12" x14ac:dyDescent="0.15">
      <c r="C8" s="129"/>
      <c r="D8" s="129"/>
      <c r="E8" s="129"/>
      <c r="F8" s="129"/>
      <c r="G8" s="129"/>
      <c r="H8" s="129"/>
      <c r="I8" s="129"/>
      <c r="J8" s="170"/>
    </row>
    <row r="9" spans="1:12" x14ac:dyDescent="0.15">
      <c r="C9" s="129" t="s">
        <v>99</v>
      </c>
      <c r="D9" s="171">
        <f>'Input Specification and Output'!E40</f>
        <v>0</v>
      </c>
      <c r="E9" s="171">
        <f>'Input Specification and Output'!F40</f>
        <v>0</v>
      </c>
      <c r="F9" s="171">
        <f>'Input Specification and Output'!G40</f>
        <v>0</v>
      </c>
      <c r="G9" s="171">
        <f>'Input Specification and Output'!H40</f>
        <v>0</v>
      </c>
      <c r="H9" s="171">
        <f>'Input Specification and Output'!I40</f>
        <v>0</v>
      </c>
      <c r="I9" s="171">
        <f>'Input Specification and Output'!J40</f>
        <v>0</v>
      </c>
    </row>
    <row r="10" spans="1:12" ht="14" thickBot="1" x14ac:dyDescent="0.2">
      <c r="C10" s="129"/>
      <c r="D10" s="129"/>
      <c r="E10" s="129"/>
      <c r="F10" s="129"/>
      <c r="G10" s="129"/>
      <c r="H10" s="129"/>
      <c r="I10" s="129"/>
      <c r="J10" s="129"/>
    </row>
    <row r="11" spans="1:12" ht="17" thickBot="1" x14ac:dyDescent="0.25">
      <c r="D11" s="581" t="s">
        <v>135</v>
      </c>
      <c r="E11" s="582"/>
      <c r="F11" s="582"/>
      <c r="G11" s="582"/>
      <c r="H11" s="582"/>
      <c r="I11" s="583"/>
    </row>
    <row r="12" spans="1:12" x14ac:dyDescent="0.15">
      <c r="C12" s="113" t="s">
        <v>93</v>
      </c>
      <c r="D12" s="113" t="s">
        <v>86</v>
      </c>
      <c r="E12" s="113" t="s">
        <v>87</v>
      </c>
      <c r="F12" s="113" t="s">
        <v>88</v>
      </c>
      <c r="G12" s="113" t="s">
        <v>89</v>
      </c>
      <c r="H12" s="113" t="s">
        <v>90</v>
      </c>
      <c r="I12" s="113" t="s">
        <v>91</v>
      </c>
    </row>
    <row r="13" spans="1:12" x14ac:dyDescent="0.15">
      <c r="B13" s="117">
        <v>1</v>
      </c>
      <c r="C13" s="118" t="s">
        <v>165</v>
      </c>
      <c r="D13" s="172">
        <f>'Input Specification and Output'!E43</f>
        <v>0</v>
      </c>
      <c r="E13" s="172">
        <f>'Input Specification and Output'!F43</f>
        <v>0</v>
      </c>
      <c r="F13" s="172">
        <f>'Input Specification and Output'!G43</f>
        <v>0</v>
      </c>
      <c r="G13" s="172">
        <f>'Input Specification and Output'!H43</f>
        <v>0</v>
      </c>
      <c r="H13" s="172">
        <f>'Input Specification and Output'!I43</f>
        <v>0</v>
      </c>
      <c r="I13" s="172">
        <f>'Input Specification and Output'!J43</f>
        <v>0</v>
      </c>
      <c r="K13" s="114"/>
      <c r="L13" s="114"/>
    </row>
    <row r="14" spans="1:12" x14ac:dyDescent="0.15">
      <c r="B14" s="117">
        <v>2</v>
      </c>
      <c r="C14" s="118" t="s">
        <v>166</v>
      </c>
      <c r="D14" s="172">
        <f>'Input Specification and Output'!E44</f>
        <v>0</v>
      </c>
      <c r="E14" s="172">
        <f>'Input Specification and Output'!F44</f>
        <v>0</v>
      </c>
      <c r="F14" s="172">
        <f>'Input Specification and Output'!G44</f>
        <v>0</v>
      </c>
      <c r="G14" s="172">
        <f>'Input Specification and Output'!H44</f>
        <v>0</v>
      </c>
      <c r="H14" s="172">
        <f>'Input Specification and Output'!I44</f>
        <v>0</v>
      </c>
      <c r="I14" s="172">
        <f>'Input Specification and Output'!J44</f>
        <v>0</v>
      </c>
    </row>
    <row r="15" spans="1:12" x14ac:dyDescent="0.15">
      <c r="B15" s="117">
        <v>3</v>
      </c>
      <c r="C15" s="118" t="s">
        <v>140</v>
      </c>
      <c r="D15" s="109" t="str">
        <f t="shared" ref="D15:I15" si="0">IF(D$9="Y",D14,"")</f>
        <v/>
      </c>
      <c r="E15" s="109" t="str">
        <f t="shared" si="0"/>
        <v/>
      </c>
      <c r="F15" s="109" t="str">
        <f t="shared" si="0"/>
        <v/>
      </c>
      <c r="G15" s="109" t="str">
        <f t="shared" si="0"/>
        <v/>
      </c>
      <c r="H15" s="109" t="str">
        <f t="shared" si="0"/>
        <v/>
      </c>
      <c r="I15" s="109" t="str">
        <f t="shared" si="0"/>
        <v/>
      </c>
    </row>
    <row r="16" spans="1:12" x14ac:dyDescent="0.15">
      <c r="B16" s="117">
        <v>4</v>
      </c>
      <c r="C16" s="123" t="s">
        <v>168</v>
      </c>
      <c r="D16" s="172">
        <f>'Input Specification and Output'!E45</f>
        <v>0</v>
      </c>
      <c r="E16" s="172">
        <f>'Input Specification and Output'!F45</f>
        <v>0</v>
      </c>
      <c r="F16" s="172">
        <f>'Input Specification and Output'!G45</f>
        <v>0</v>
      </c>
      <c r="G16" s="172">
        <f>'Input Specification and Output'!H45</f>
        <v>0</v>
      </c>
      <c r="H16" s="172">
        <f>'Input Specification and Output'!I45</f>
        <v>0</v>
      </c>
      <c r="I16" s="172">
        <f>'Input Specification and Output'!J45</f>
        <v>0</v>
      </c>
    </row>
    <row r="17" spans="2:10" x14ac:dyDescent="0.15">
      <c r="B17" s="117">
        <v>5</v>
      </c>
      <c r="C17" s="124" t="s">
        <v>167</v>
      </c>
      <c r="D17" s="172">
        <f>'Input Specification and Output'!E46</f>
        <v>0</v>
      </c>
      <c r="E17" s="172">
        <f>'Input Specification and Output'!F46</f>
        <v>0</v>
      </c>
      <c r="F17" s="172">
        <f>'Input Specification and Output'!G46</f>
        <v>0</v>
      </c>
      <c r="G17" s="172">
        <f>'Input Specification and Output'!H46</f>
        <v>0</v>
      </c>
      <c r="H17" s="172">
        <f>'Input Specification and Output'!I46</f>
        <v>0</v>
      </c>
      <c r="I17" s="172">
        <f>'Input Specification and Output'!J46</f>
        <v>0</v>
      </c>
    </row>
    <row r="18" spans="2:10" x14ac:dyDescent="0.15">
      <c r="B18" s="117">
        <v>6</v>
      </c>
      <c r="C18" s="124" t="s">
        <v>164</v>
      </c>
      <c r="D18" s="172">
        <f>'Input Specification and Output'!E47</f>
        <v>0</v>
      </c>
      <c r="E18" s="172">
        <f>'Input Specification and Output'!F47</f>
        <v>0</v>
      </c>
      <c r="F18" s="172">
        <f>'Input Specification and Output'!G47</f>
        <v>0</v>
      </c>
      <c r="G18" s="172">
        <f>'Input Specification and Output'!H47</f>
        <v>0</v>
      </c>
      <c r="H18" s="172">
        <f>'Input Specification and Output'!I47</f>
        <v>0</v>
      </c>
      <c r="I18" s="172">
        <f>'Input Specification and Output'!J47</f>
        <v>0</v>
      </c>
    </row>
    <row r="19" spans="2:10" x14ac:dyDescent="0.15">
      <c r="B19" s="117">
        <v>7</v>
      </c>
      <c r="C19" s="124" t="s">
        <v>94</v>
      </c>
      <c r="D19" s="172">
        <f>'Input Specification and Output'!E48</f>
        <v>0</v>
      </c>
      <c r="E19" s="172">
        <f>'Input Specification and Output'!F48</f>
        <v>0</v>
      </c>
      <c r="F19" s="172">
        <f>'Input Specification and Output'!G48</f>
        <v>0</v>
      </c>
      <c r="G19" s="172">
        <f>'Input Specification and Output'!H48</f>
        <v>0</v>
      </c>
      <c r="H19" s="172">
        <f>'Input Specification and Output'!I48</f>
        <v>0</v>
      </c>
      <c r="I19" s="172">
        <f>'Input Specification and Output'!J48</f>
        <v>0</v>
      </c>
    </row>
    <row r="20" spans="2:10" x14ac:dyDescent="0.15">
      <c r="B20" s="117">
        <v>8</v>
      </c>
      <c r="C20" s="124" t="s">
        <v>95</v>
      </c>
      <c r="D20" s="172">
        <f>'Input Specification and Output'!E49</f>
        <v>0</v>
      </c>
      <c r="E20" s="172">
        <f>'Input Specification and Output'!F49</f>
        <v>0</v>
      </c>
      <c r="F20" s="172">
        <f>'Input Specification and Output'!G49</f>
        <v>0</v>
      </c>
      <c r="G20" s="172">
        <f>'Input Specification and Output'!H49</f>
        <v>0</v>
      </c>
      <c r="H20" s="172">
        <f>'Input Specification and Output'!I49</f>
        <v>0</v>
      </c>
      <c r="I20" s="172">
        <f>'Input Specification and Output'!J49</f>
        <v>0</v>
      </c>
    </row>
    <row r="21" spans="2:10" x14ac:dyDescent="0.15">
      <c r="B21" s="117">
        <v>9</v>
      </c>
      <c r="C21" s="124" t="s">
        <v>142</v>
      </c>
      <c r="D21" s="172">
        <f>'Input Specification and Output'!E50</f>
        <v>0</v>
      </c>
      <c r="E21" s="172">
        <f>'Input Specification and Output'!F50</f>
        <v>0</v>
      </c>
      <c r="F21" s="172">
        <f>'Input Specification and Output'!G50</f>
        <v>0</v>
      </c>
      <c r="G21" s="172">
        <f>'Input Specification and Output'!H50</f>
        <v>0</v>
      </c>
      <c r="H21" s="172">
        <f>'Input Specification and Output'!I50</f>
        <v>0</v>
      </c>
      <c r="I21" s="172">
        <f>'Input Specification and Output'!J50</f>
        <v>0</v>
      </c>
    </row>
    <row r="22" spans="2:10" x14ac:dyDescent="0.15">
      <c r="B22" s="117">
        <v>10</v>
      </c>
      <c r="C22" s="124" t="s">
        <v>138</v>
      </c>
      <c r="D22" s="172">
        <f>'Input Specification and Output'!E51</f>
        <v>0</v>
      </c>
      <c r="E22" s="172">
        <f>'Input Specification and Output'!F51</f>
        <v>0</v>
      </c>
      <c r="F22" s="172">
        <f>'Input Specification and Output'!G51</f>
        <v>0</v>
      </c>
      <c r="G22" s="172">
        <f>'Input Specification and Output'!H51</f>
        <v>0</v>
      </c>
      <c r="H22" s="172">
        <f>'Input Specification and Output'!I51</f>
        <v>0</v>
      </c>
      <c r="I22" s="172">
        <f>'Input Specification and Output'!J51</f>
        <v>0</v>
      </c>
    </row>
    <row r="23" spans="2:10" x14ac:dyDescent="0.15">
      <c r="B23" s="117">
        <v>11</v>
      </c>
      <c r="C23" s="124" t="s">
        <v>141</v>
      </c>
      <c r="D23" s="172">
        <f>'Input Specification and Output'!E52</f>
        <v>0</v>
      </c>
      <c r="E23" s="172">
        <f>'Input Specification and Output'!F52</f>
        <v>0</v>
      </c>
      <c r="F23" s="172">
        <f>'Input Specification and Output'!G52</f>
        <v>0</v>
      </c>
      <c r="G23" s="172">
        <f>'Input Specification and Output'!H52</f>
        <v>0</v>
      </c>
      <c r="H23" s="172">
        <f>'Input Specification and Output'!I52</f>
        <v>0</v>
      </c>
      <c r="I23" s="172">
        <f>'Input Specification and Output'!J52</f>
        <v>0</v>
      </c>
    </row>
    <row r="24" spans="2:10" x14ac:dyDescent="0.15">
      <c r="B24" s="117">
        <v>12</v>
      </c>
      <c r="C24" s="124" t="s">
        <v>96</v>
      </c>
      <c r="D24" s="172">
        <f>'Input Specification and Output'!E53</f>
        <v>0</v>
      </c>
      <c r="E24" s="172">
        <f>'Input Specification and Output'!F53</f>
        <v>0</v>
      </c>
      <c r="F24" s="172">
        <f>'Input Specification and Output'!G53</f>
        <v>0</v>
      </c>
      <c r="G24" s="172">
        <f>'Input Specification and Output'!H53</f>
        <v>0</v>
      </c>
      <c r="H24" s="172">
        <f>'Input Specification and Output'!I53</f>
        <v>0</v>
      </c>
      <c r="I24" s="172">
        <f>'Input Specification and Output'!J53</f>
        <v>0</v>
      </c>
    </row>
    <row r="25" spans="2:10" x14ac:dyDescent="0.15">
      <c r="B25" s="117">
        <v>13</v>
      </c>
      <c r="C25" s="124" t="s">
        <v>97</v>
      </c>
      <c r="D25" s="172">
        <f>'Input Specification and Output'!E54</f>
        <v>0</v>
      </c>
      <c r="E25" s="172">
        <f>'Input Specification and Output'!F54</f>
        <v>0</v>
      </c>
      <c r="F25" s="172">
        <f>'Input Specification and Output'!G54</f>
        <v>0</v>
      </c>
      <c r="G25" s="172">
        <f>'Input Specification and Output'!H54</f>
        <v>0</v>
      </c>
      <c r="H25" s="172">
        <f>'Input Specification and Output'!I54</f>
        <v>0</v>
      </c>
      <c r="I25" s="172">
        <f>'Input Specification and Output'!J54</f>
        <v>0</v>
      </c>
    </row>
    <row r="26" spans="2:10" x14ac:dyDescent="0.15">
      <c r="B26" s="117">
        <v>14</v>
      </c>
      <c r="C26" s="124" t="s">
        <v>102</v>
      </c>
      <c r="D26" s="172">
        <f>'Input Specification and Output'!E55</f>
        <v>0</v>
      </c>
      <c r="E26" s="172">
        <f>'Input Specification and Output'!F55</f>
        <v>0</v>
      </c>
      <c r="F26" s="172">
        <f>'Input Specification and Output'!G55</f>
        <v>0</v>
      </c>
      <c r="G26" s="172">
        <f>'Input Specification and Output'!H55</f>
        <v>0</v>
      </c>
      <c r="H26" s="172">
        <f>'Input Specification and Output'!I55</f>
        <v>0</v>
      </c>
      <c r="I26" s="172">
        <f>'Input Specification and Output'!J55</f>
        <v>0</v>
      </c>
    </row>
    <row r="27" spans="2:10" ht="14" thickBot="1" x14ac:dyDescent="0.2"/>
    <row r="28" spans="2:10" ht="17" thickBot="1" x14ac:dyDescent="0.25">
      <c r="D28" s="581" t="s">
        <v>136</v>
      </c>
      <c r="E28" s="582"/>
      <c r="F28" s="582"/>
      <c r="G28" s="582"/>
      <c r="H28" s="582"/>
      <c r="I28" s="583"/>
    </row>
    <row r="29" spans="2:10" x14ac:dyDescent="0.15">
      <c r="C29" s="113" t="s">
        <v>93</v>
      </c>
      <c r="D29" s="113" t="s">
        <v>86</v>
      </c>
      <c r="E29" s="113" t="s">
        <v>87</v>
      </c>
      <c r="F29" s="113" t="s">
        <v>88</v>
      </c>
      <c r="G29" s="113" t="s">
        <v>89</v>
      </c>
      <c r="H29" s="113" t="s">
        <v>90</v>
      </c>
      <c r="I29" s="113" t="s">
        <v>91</v>
      </c>
      <c r="J29" s="166" t="s">
        <v>98</v>
      </c>
    </row>
    <row r="30" spans="2:10" x14ac:dyDescent="0.15">
      <c r="B30" s="117">
        <v>1</v>
      </c>
      <c r="C30" s="118" t="s">
        <v>165</v>
      </c>
      <c r="D30" s="173">
        <f t="shared" ref="D30:D43" si="1">Typical_1_Qty*D13</f>
        <v>0</v>
      </c>
      <c r="E30" s="173">
        <f t="shared" ref="E30:E43" si="2">Typical_2_Qty*E13</f>
        <v>0</v>
      </c>
      <c r="F30" s="173">
        <f t="shared" ref="F30:F43" si="3">Typical_3_Qty*F13</f>
        <v>0</v>
      </c>
      <c r="G30" s="173">
        <f t="shared" ref="G30:G43" si="4">Typical_4_Qty*G13</f>
        <v>0</v>
      </c>
      <c r="H30" s="173">
        <f t="shared" ref="H30:H43" si="5">Typical_5_Qty*H13</f>
        <v>0</v>
      </c>
      <c r="I30" s="173">
        <f t="shared" ref="I30:I43" si="6">Typical_6_Qty*I13</f>
        <v>0</v>
      </c>
      <c r="J30" s="174">
        <f t="shared" ref="J30:J43" si="7">SUM(D30:I30)</f>
        <v>0</v>
      </c>
    </row>
    <row r="31" spans="2:10" x14ac:dyDescent="0.15">
      <c r="B31" s="117">
        <v>2</v>
      </c>
      <c r="C31" s="118" t="s">
        <v>166</v>
      </c>
      <c r="D31" s="173">
        <f t="shared" si="1"/>
        <v>0</v>
      </c>
      <c r="E31" s="173">
        <f t="shared" si="2"/>
        <v>0</v>
      </c>
      <c r="F31" s="173">
        <f t="shared" si="3"/>
        <v>0</v>
      </c>
      <c r="G31" s="173">
        <f t="shared" si="4"/>
        <v>0</v>
      </c>
      <c r="H31" s="173">
        <f t="shared" si="5"/>
        <v>0</v>
      </c>
      <c r="I31" s="173">
        <f t="shared" si="6"/>
        <v>0</v>
      </c>
      <c r="J31" s="174">
        <f t="shared" si="7"/>
        <v>0</v>
      </c>
    </row>
    <row r="32" spans="2:10" x14ac:dyDescent="0.15">
      <c r="B32" s="117">
        <v>3</v>
      </c>
      <c r="C32" s="118" t="s">
        <v>140</v>
      </c>
      <c r="D32" s="173">
        <f t="shared" ref="D32:I32" si="8">IF(D15="",0,Typical_1_Qty*D15)</f>
        <v>0</v>
      </c>
      <c r="E32" s="173">
        <f t="shared" si="8"/>
        <v>0</v>
      </c>
      <c r="F32" s="173">
        <f t="shared" si="8"/>
        <v>0</v>
      </c>
      <c r="G32" s="173">
        <f t="shared" si="8"/>
        <v>0</v>
      </c>
      <c r="H32" s="173">
        <f t="shared" si="8"/>
        <v>0</v>
      </c>
      <c r="I32" s="173">
        <f t="shared" si="8"/>
        <v>0</v>
      </c>
      <c r="J32" s="174">
        <f t="shared" si="7"/>
        <v>0</v>
      </c>
    </row>
    <row r="33" spans="2:10" x14ac:dyDescent="0.15">
      <c r="B33" s="117">
        <v>4</v>
      </c>
      <c r="C33" s="123" t="s">
        <v>168</v>
      </c>
      <c r="D33" s="173">
        <f t="shared" si="1"/>
        <v>0</v>
      </c>
      <c r="E33" s="173">
        <f t="shared" si="2"/>
        <v>0</v>
      </c>
      <c r="F33" s="173">
        <f t="shared" si="3"/>
        <v>0</v>
      </c>
      <c r="G33" s="173">
        <f t="shared" si="4"/>
        <v>0</v>
      </c>
      <c r="H33" s="173">
        <f t="shared" si="5"/>
        <v>0</v>
      </c>
      <c r="I33" s="173">
        <f t="shared" si="6"/>
        <v>0</v>
      </c>
      <c r="J33" s="174">
        <f t="shared" si="7"/>
        <v>0</v>
      </c>
    </row>
    <row r="34" spans="2:10" x14ac:dyDescent="0.15">
      <c r="B34" s="117">
        <v>5</v>
      </c>
      <c r="C34" s="124" t="s">
        <v>167</v>
      </c>
      <c r="D34" s="173">
        <f t="shared" si="1"/>
        <v>0</v>
      </c>
      <c r="E34" s="173">
        <f t="shared" si="2"/>
        <v>0</v>
      </c>
      <c r="F34" s="173">
        <f t="shared" si="3"/>
        <v>0</v>
      </c>
      <c r="G34" s="173">
        <f t="shared" si="4"/>
        <v>0</v>
      </c>
      <c r="H34" s="173">
        <f t="shared" si="5"/>
        <v>0</v>
      </c>
      <c r="I34" s="173">
        <f t="shared" si="6"/>
        <v>0</v>
      </c>
      <c r="J34" s="174">
        <f t="shared" si="7"/>
        <v>0</v>
      </c>
    </row>
    <row r="35" spans="2:10" x14ac:dyDescent="0.15">
      <c r="B35" s="117">
        <v>6</v>
      </c>
      <c r="C35" s="124" t="s">
        <v>164</v>
      </c>
      <c r="D35" s="173">
        <f t="shared" si="1"/>
        <v>0</v>
      </c>
      <c r="E35" s="173">
        <f t="shared" si="2"/>
        <v>0</v>
      </c>
      <c r="F35" s="173">
        <f t="shared" si="3"/>
        <v>0</v>
      </c>
      <c r="G35" s="173">
        <f t="shared" si="4"/>
        <v>0</v>
      </c>
      <c r="H35" s="173">
        <f t="shared" si="5"/>
        <v>0</v>
      </c>
      <c r="I35" s="173">
        <f t="shared" si="6"/>
        <v>0</v>
      </c>
      <c r="J35" s="174">
        <f t="shared" si="7"/>
        <v>0</v>
      </c>
    </row>
    <row r="36" spans="2:10" x14ac:dyDescent="0.15">
      <c r="B36" s="117">
        <v>7</v>
      </c>
      <c r="C36" s="124" t="s">
        <v>94</v>
      </c>
      <c r="D36" s="173">
        <f t="shared" si="1"/>
        <v>0</v>
      </c>
      <c r="E36" s="173">
        <f t="shared" si="2"/>
        <v>0</v>
      </c>
      <c r="F36" s="173">
        <f t="shared" si="3"/>
        <v>0</v>
      </c>
      <c r="G36" s="173">
        <f t="shared" si="4"/>
        <v>0</v>
      </c>
      <c r="H36" s="173">
        <f t="shared" si="5"/>
        <v>0</v>
      </c>
      <c r="I36" s="173">
        <f t="shared" si="6"/>
        <v>0</v>
      </c>
      <c r="J36" s="174">
        <f t="shared" si="7"/>
        <v>0</v>
      </c>
    </row>
    <row r="37" spans="2:10" x14ac:dyDescent="0.15">
      <c r="B37" s="117">
        <v>8</v>
      </c>
      <c r="C37" s="124" t="s">
        <v>95</v>
      </c>
      <c r="D37" s="173">
        <f t="shared" si="1"/>
        <v>0</v>
      </c>
      <c r="E37" s="173">
        <f t="shared" si="2"/>
        <v>0</v>
      </c>
      <c r="F37" s="173">
        <f t="shared" si="3"/>
        <v>0</v>
      </c>
      <c r="G37" s="173">
        <f t="shared" si="4"/>
        <v>0</v>
      </c>
      <c r="H37" s="173">
        <f t="shared" si="5"/>
        <v>0</v>
      </c>
      <c r="I37" s="173">
        <f t="shared" si="6"/>
        <v>0</v>
      </c>
      <c r="J37" s="174">
        <f t="shared" si="7"/>
        <v>0</v>
      </c>
    </row>
    <row r="38" spans="2:10" x14ac:dyDescent="0.15">
      <c r="B38" s="117">
        <v>9</v>
      </c>
      <c r="C38" s="124" t="s">
        <v>142</v>
      </c>
      <c r="D38" s="173">
        <f t="shared" si="1"/>
        <v>0</v>
      </c>
      <c r="E38" s="173">
        <f t="shared" si="2"/>
        <v>0</v>
      </c>
      <c r="F38" s="173">
        <f t="shared" si="3"/>
        <v>0</v>
      </c>
      <c r="G38" s="173">
        <f t="shared" si="4"/>
        <v>0</v>
      </c>
      <c r="H38" s="173">
        <f t="shared" si="5"/>
        <v>0</v>
      </c>
      <c r="I38" s="173">
        <f t="shared" si="6"/>
        <v>0</v>
      </c>
      <c r="J38" s="174">
        <f t="shared" si="7"/>
        <v>0</v>
      </c>
    </row>
    <row r="39" spans="2:10" x14ac:dyDescent="0.15">
      <c r="B39" s="117">
        <v>10</v>
      </c>
      <c r="C39" s="124" t="s">
        <v>138</v>
      </c>
      <c r="D39" s="173">
        <f t="shared" si="1"/>
        <v>0</v>
      </c>
      <c r="E39" s="173">
        <f t="shared" si="2"/>
        <v>0</v>
      </c>
      <c r="F39" s="173">
        <f t="shared" si="3"/>
        <v>0</v>
      </c>
      <c r="G39" s="173">
        <f t="shared" si="4"/>
        <v>0</v>
      </c>
      <c r="H39" s="173">
        <f t="shared" si="5"/>
        <v>0</v>
      </c>
      <c r="I39" s="173">
        <f t="shared" si="6"/>
        <v>0</v>
      </c>
      <c r="J39" s="174">
        <f t="shared" si="7"/>
        <v>0</v>
      </c>
    </row>
    <row r="40" spans="2:10" x14ac:dyDescent="0.15">
      <c r="B40" s="117">
        <v>11</v>
      </c>
      <c r="C40" s="124" t="s">
        <v>141</v>
      </c>
      <c r="D40" s="173">
        <f t="shared" si="1"/>
        <v>0</v>
      </c>
      <c r="E40" s="173">
        <f t="shared" si="2"/>
        <v>0</v>
      </c>
      <c r="F40" s="173">
        <f t="shared" si="3"/>
        <v>0</v>
      </c>
      <c r="G40" s="173">
        <f t="shared" si="4"/>
        <v>0</v>
      </c>
      <c r="H40" s="173">
        <f t="shared" si="5"/>
        <v>0</v>
      </c>
      <c r="I40" s="173">
        <f t="shared" si="6"/>
        <v>0</v>
      </c>
      <c r="J40" s="174">
        <f t="shared" si="7"/>
        <v>0</v>
      </c>
    </row>
    <row r="41" spans="2:10" x14ac:dyDescent="0.15">
      <c r="B41" s="117">
        <v>12</v>
      </c>
      <c r="C41" s="124" t="s">
        <v>96</v>
      </c>
      <c r="D41" s="173">
        <f t="shared" si="1"/>
        <v>0</v>
      </c>
      <c r="E41" s="173">
        <f t="shared" si="2"/>
        <v>0</v>
      </c>
      <c r="F41" s="173">
        <f t="shared" si="3"/>
        <v>0</v>
      </c>
      <c r="G41" s="173">
        <f t="shared" si="4"/>
        <v>0</v>
      </c>
      <c r="H41" s="173">
        <f t="shared" si="5"/>
        <v>0</v>
      </c>
      <c r="I41" s="173">
        <f t="shared" si="6"/>
        <v>0</v>
      </c>
      <c r="J41" s="174">
        <f t="shared" si="7"/>
        <v>0</v>
      </c>
    </row>
    <row r="42" spans="2:10" x14ac:dyDescent="0.15">
      <c r="B42" s="117">
        <v>13</v>
      </c>
      <c r="C42" s="124" t="s">
        <v>97</v>
      </c>
      <c r="D42" s="173">
        <f t="shared" si="1"/>
        <v>0</v>
      </c>
      <c r="E42" s="173">
        <f t="shared" si="2"/>
        <v>0</v>
      </c>
      <c r="F42" s="173">
        <f t="shared" si="3"/>
        <v>0</v>
      </c>
      <c r="G42" s="173">
        <f t="shared" si="4"/>
        <v>0</v>
      </c>
      <c r="H42" s="173">
        <f t="shared" si="5"/>
        <v>0</v>
      </c>
      <c r="I42" s="173">
        <f t="shared" si="6"/>
        <v>0</v>
      </c>
      <c r="J42" s="174">
        <f t="shared" si="7"/>
        <v>0</v>
      </c>
    </row>
    <row r="43" spans="2:10" x14ac:dyDescent="0.15">
      <c r="B43" s="117">
        <v>14</v>
      </c>
      <c r="C43" s="124" t="s">
        <v>102</v>
      </c>
      <c r="D43" s="173">
        <f t="shared" si="1"/>
        <v>0</v>
      </c>
      <c r="E43" s="173">
        <f t="shared" si="2"/>
        <v>0</v>
      </c>
      <c r="F43" s="173">
        <f t="shared" si="3"/>
        <v>0</v>
      </c>
      <c r="G43" s="173">
        <f t="shared" si="4"/>
        <v>0</v>
      </c>
      <c r="H43" s="173">
        <f t="shared" si="5"/>
        <v>0</v>
      </c>
      <c r="I43" s="173">
        <f t="shared" si="6"/>
        <v>0</v>
      </c>
      <c r="J43" s="174">
        <f t="shared" si="7"/>
        <v>0</v>
      </c>
    </row>
    <row r="45" spans="2:10" x14ac:dyDescent="0.15">
      <c r="C45" s="175" t="s">
        <v>131</v>
      </c>
      <c r="D45" s="176">
        <f t="shared" ref="D45:I45" si="9">IF(SUM(D13:D14)&gt;6,6,SUM(D13:D14))</f>
        <v>0</v>
      </c>
      <c r="E45" s="176">
        <f t="shared" si="9"/>
        <v>0</v>
      </c>
      <c r="F45" s="176">
        <f t="shared" si="9"/>
        <v>0</v>
      </c>
      <c r="G45" s="176">
        <f t="shared" si="9"/>
        <v>0</v>
      </c>
      <c r="H45" s="176">
        <f t="shared" si="9"/>
        <v>0</v>
      </c>
      <c r="I45" s="176">
        <f t="shared" si="9"/>
        <v>0</v>
      </c>
    </row>
    <row r="46" spans="2:10" x14ac:dyDescent="0.15">
      <c r="C46" s="175" t="s">
        <v>133</v>
      </c>
      <c r="D46" s="177" t="str">
        <f t="shared" ref="D46:I46" si="10">IF(D7="","",IF(D7=0,"",CONCATENATE(D7,D45)))</f>
        <v/>
      </c>
      <c r="E46" s="177" t="str">
        <f t="shared" si="10"/>
        <v/>
      </c>
      <c r="F46" s="177" t="str">
        <f t="shared" si="10"/>
        <v/>
      </c>
      <c r="G46" s="177" t="str">
        <f t="shared" si="10"/>
        <v/>
      </c>
      <c r="H46" s="177" t="str">
        <f t="shared" si="10"/>
        <v/>
      </c>
      <c r="I46" s="177" t="str">
        <f t="shared" si="10"/>
        <v/>
      </c>
    </row>
    <row r="47" spans="2:10" x14ac:dyDescent="0.15">
      <c r="C47" s="175"/>
      <c r="D47" s="177"/>
      <c r="E47" s="177"/>
      <c r="F47" s="177"/>
      <c r="G47" s="176"/>
      <c r="H47" s="176"/>
      <c r="I47" s="176"/>
    </row>
    <row r="48" spans="2:10" x14ac:dyDescent="0.15">
      <c r="C48" s="175" t="s">
        <v>215</v>
      </c>
      <c r="D48" s="175" t="str">
        <f t="shared" ref="D48:I48" si="11">IF(D46="","",VLOOKUP(D$46,Shared_Panel_Adjustment_Table,12))</f>
        <v/>
      </c>
      <c r="E48" s="175" t="str">
        <f t="shared" si="11"/>
        <v/>
      </c>
      <c r="F48" s="175" t="str">
        <f t="shared" si="11"/>
        <v/>
      </c>
      <c r="G48" s="175" t="str">
        <f t="shared" si="11"/>
        <v/>
      </c>
      <c r="H48" s="175" t="str">
        <f t="shared" si="11"/>
        <v/>
      </c>
      <c r="I48" s="175" t="str">
        <f t="shared" si="11"/>
        <v/>
      </c>
    </row>
    <row r="49" spans="2:10" x14ac:dyDescent="0.15">
      <c r="C49" s="175" t="s">
        <v>216</v>
      </c>
      <c r="D49" s="175" t="str">
        <f t="shared" ref="D49:I49" si="12">IF(D46="","",VLOOKUP(D$46,Shared_Panel_Adjustment_Table,9))</f>
        <v/>
      </c>
      <c r="E49" s="175" t="str">
        <f t="shared" si="12"/>
        <v/>
      </c>
      <c r="F49" s="175" t="str">
        <f t="shared" si="12"/>
        <v/>
      </c>
      <c r="G49" s="175" t="str">
        <f t="shared" si="12"/>
        <v/>
      </c>
      <c r="H49" s="175" t="str">
        <f t="shared" si="12"/>
        <v/>
      </c>
      <c r="I49" s="175" t="str">
        <f t="shared" si="12"/>
        <v/>
      </c>
    </row>
    <row r="50" spans="2:10" x14ac:dyDescent="0.15">
      <c r="C50" s="175"/>
      <c r="D50" s="175"/>
      <c r="E50" s="175"/>
      <c r="F50" s="175"/>
      <c r="G50" s="175"/>
      <c r="H50" s="175"/>
      <c r="I50" s="175"/>
    </row>
    <row r="51" spans="2:10" x14ac:dyDescent="0.15">
      <c r="C51" s="175" t="s">
        <v>132</v>
      </c>
      <c r="D51" s="178" t="str">
        <f>IF(D7="","",IF(D7=0,"",INT(Typical_1_Qty/D7)))</f>
        <v/>
      </c>
      <c r="E51" s="178" t="str">
        <f>IF(E7="","",IF(E7=0,"",INT(Typical_2_Qty/E7)))</f>
        <v/>
      </c>
      <c r="F51" s="178" t="str">
        <f>IF(F7="","",IF(F7=0,"",INT(Typical_3_Qty/F7)))</f>
        <v/>
      </c>
      <c r="G51" s="178" t="str">
        <f>IF(G7="","",IF(G7=0,"",INT(Typical_4_Qty/G7)))</f>
        <v/>
      </c>
      <c r="H51" s="178" t="str">
        <f>IF(H7="","",IF(H7=0,"",INT(Typical_5_Qty/H7)))</f>
        <v/>
      </c>
      <c r="I51" s="178" t="str">
        <f>IF(I7="","",IF(I7=0,"",INT(Typical_6_Qty/I7)))</f>
        <v/>
      </c>
    </row>
    <row r="52" spans="2:10" x14ac:dyDescent="0.15">
      <c r="C52" s="175"/>
      <c r="D52" s="175"/>
      <c r="E52" s="175"/>
      <c r="F52" s="175"/>
      <c r="G52" s="175"/>
      <c r="H52" s="175"/>
      <c r="I52" s="175"/>
    </row>
    <row r="53" spans="2:10" x14ac:dyDescent="0.15">
      <c r="C53" s="175" t="s">
        <v>217</v>
      </c>
      <c r="D53" s="179" t="str">
        <f t="shared" ref="D53:I53" si="13">IF(D51="","",D48*D$51)</f>
        <v/>
      </c>
      <c r="E53" s="179" t="str">
        <f t="shared" si="13"/>
        <v/>
      </c>
      <c r="F53" s="179" t="str">
        <f t="shared" si="13"/>
        <v/>
      </c>
      <c r="G53" s="179" t="str">
        <f t="shared" si="13"/>
        <v/>
      </c>
      <c r="H53" s="179" t="str">
        <f t="shared" si="13"/>
        <v/>
      </c>
      <c r="I53" s="179" t="str">
        <f t="shared" si="13"/>
        <v/>
      </c>
    </row>
    <row r="54" spans="2:10" x14ac:dyDescent="0.15">
      <c r="C54" s="175" t="s">
        <v>218</v>
      </c>
      <c r="D54" s="179" t="str">
        <f t="shared" ref="D54:I54" si="14">IF(D51="","",D49*D$51)</f>
        <v/>
      </c>
      <c r="E54" s="179" t="str">
        <f t="shared" si="14"/>
        <v/>
      </c>
      <c r="F54" s="179" t="str">
        <f t="shared" si="14"/>
        <v/>
      </c>
      <c r="G54" s="179" t="str">
        <f t="shared" si="14"/>
        <v/>
      </c>
      <c r="H54" s="179" t="str">
        <f t="shared" si="14"/>
        <v/>
      </c>
      <c r="I54" s="179" t="str">
        <f t="shared" si="14"/>
        <v/>
      </c>
    </row>
    <row r="55" spans="2:10" x14ac:dyDescent="0.15">
      <c r="C55" s="175"/>
      <c r="D55" s="179"/>
      <c r="E55" s="179"/>
      <c r="F55" s="179"/>
      <c r="G55" s="179"/>
      <c r="H55" s="179"/>
      <c r="I55" s="179"/>
    </row>
    <row r="56" spans="2:10" x14ac:dyDescent="0.15">
      <c r="C56" s="175" t="s">
        <v>259</v>
      </c>
      <c r="D56" s="179">
        <f t="shared" ref="D56:I56" si="15">SUM(D30:D31)</f>
        <v>0</v>
      </c>
      <c r="E56" s="179">
        <f t="shared" si="15"/>
        <v>0</v>
      </c>
      <c r="F56" s="179">
        <f t="shared" si="15"/>
        <v>0</v>
      </c>
      <c r="G56" s="179">
        <f t="shared" si="15"/>
        <v>0</v>
      </c>
      <c r="H56" s="179">
        <f t="shared" si="15"/>
        <v>0</v>
      </c>
      <c r="I56" s="179">
        <f t="shared" si="15"/>
        <v>0</v>
      </c>
    </row>
    <row r="57" spans="2:10" x14ac:dyDescent="0.15">
      <c r="C57" s="175" t="s">
        <v>260</v>
      </c>
      <c r="D57" s="179">
        <f t="shared" ref="D57:I57" si="16">SUM(D53:D54)</f>
        <v>0</v>
      </c>
      <c r="E57" s="179">
        <f t="shared" si="16"/>
        <v>0</v>
      </c>
      <c r="F57" s="179">
        <f t="shared" si="16"/>
        <v>0</v>
      </c>
      <c r="G57" s="179">
        <f t="shared" si="16"/>
        <v>0</v>
      </c>
      <c r="H57" s="179">
        <f t="shared" si="16"/>
        <v>0</v>
      </c>
      <c r="I57" s="179">
        <f t="shared" si="16"/>
        <v>0</v>
      </c>
    </row>
    <row r="58" spans="2:10" x14ac:dyDescent="0.15">
      <c r="C58" s="180" t="s">
        <v>261</v>
      </c>
      <c r="D58" s="181">
        <f t="shared" ref="D58:I58" si="17">IF(D56=0,0,D57/D56)</f>
        <v>0</v>
      </c>
      <c r="E58" s="181">
        <f t="shared" si="17"/>
        <v>0</v>
      </c>
      <c r="F58" s="181">
        <f t="shared" si="17"/>
        <v>0</v>
      </c>
      <c r="G58" s="181">
        <f t="shared" si="17"/>
        <v>0</v>
      </c>
      <c r="H58" s="181">
        <f t="shared" si="17"/>
        <v>0</v>
      </c>
      <c r="I58" s="181">
        <f t="shared" si="17"/>
        <v>0</v>
      </c>
    </row>
    <row r="59" spans="2:10" ht="14" thickBot="1" x14ac:dyDescent="0.2"/>
    <row r="60" spans="2:10" ht="17" thickBot="1" x14ac:dyDescent="0.25">
      <c r="D60" s="581" t="s">
        <v>226</v>
      </c>
      <c r="E60" s="582"/>
      <c r="F60" s="582"/>
      <c r="G60" s="582"/>
      <c r="H60" s="582"/>
      <c r="I60" s="583"/>
    </row>
    <row r="61" spans="2:10" x14ac:dyDescent="0.15">
      <c r="C61" s="113" t="s">
        <v>93</v>
      </c>
      <c r="D61" s="113" t="s">
        <v>86</v>
      </c>
      <c r="E61" s="113" t="s">
        <v>87</v>
      </c>
      <c r="F61" s="113" t="s">
        <v>88</v>
      </c>
      <c r="G61" s="113" t="s">
        <v>89</v>
      </c>
      <c r="H61" s="113" t="s">
        <v>90</v>
      </c>
      <c r="I61" s="113" t="s">
        <v>91</v>
      </c>
      <c r="J61" s="166" t="s">
        <v>98</v>
      </c>
    </row>
    <row r="62" spans="2:10" x14ac:dyDescent="0.15">
      <c r="B62" s="117">
        <v>1</v>
      </c>
      <c r="C62" s="118" t="s">
        <v>165</v>
      </c>
      <c r="D62" s="173">
        <f t="shared" ref="D62:I63" si="18">IF(D53="",D30,D30-D53)</f>
        <v>0</v>
      </c>
      <c r="E62" s="173">
        <f t="shared" si="18"/>
        <v>0</v>
      </c>
      <c r="F62" s="173">
        <f t="shared" si="18"/>
        <v>0</v>
      </c>
      <c r="G62" s="173">
        <f t="shared" si="18"/>
        <v>0</v>
      </c>
      <c r="H62" s="173">
        <f t="shared" si="18"/>
        <v>0</v>
      </c>
      <c r="I62" s="173">
        <f t="shared" si="18"/>
        <v>0</v>
      </c>
      <c r="J62" s="174">
        <f t="shared" ref="J62:J75" si="19">SUM(D62:I62)</f>
        <v>0</v>
      </c>
    </row>
    <row r="63" spans="2:10" x14ac:dyDescent="0.15">
      <c r="B63" s="117">
        <v>2</v>
      </c>
      <c r="C63" s="118" t="s">
        <v>166</v>
      </c>
      <c r="D63" s="173">
        <f t="shared" si="18"/>
        <v>0</v>
      </c>
      <c r="E63" s="173">
        <f t="shared" si="18"/>
        <v>0</v>
      </c>
      <c r="F63" s="173">
        <f t="shared" si="18"/>
        <v>0</v>
      </c>
      <c r="G63" s="173">
        <f t="shared" si="18"/>
        <v>0</v>
      </c>
      <c r="H63" s="173">
        <f t="shared" si="18"/>
        <v>0</v>
      </c>
      <c r="I63" s="173">
        <f t="shared" si="18"/>
        <v>0</v>
      </c>
      <c r="J63" s="174">
        <f t="shared" si="19"/>
        <v>0</v>
      </c>
    </row>
    <row r="64" spans="2:10" x14ac:dyDescent="0.15">
      <c r="B64" s="117">
        <v>3</v>
      </c>
      <c r="C64" s="118" t="s">
        <v>140</v>
      </c>
      <c r="D64" s="109">
        <f t="shared" ref="D64:I64" si="20">IF(D$9="Y",D63,0)</f>
        <v>0</v>
      </c>
      <c r="E64" s="109">
        <f t="shared" si="20"/>
        <v>0</v>
      </c>
      <c r="F64" s="109">
        <f t="shared" si="20"/>
        <v>0</v>
      </c>
      <c r="G64" s="109">
        <f t="shared" si="20"/>
        <v>0</v>
      </c>
      <c r="H64" s="109">
        <f t="shared" si="20"/>
        <v>0</v>
      </c>
      <c r="I64" s="109">
        <f t="shared" si="20"/>
        <v>0</v>
      </c>
      <c r="J64" s="174">
        <f t="shared" si="19"/>
        <v>0</v>
      </c>
    </row>
    <row r="65" spans="2:10" x14ac:dyDescent="0.15">
      <c r="B65" s="117">
        <v>4</v>
      </c>
      <c r="C65" s="123" t="s">
        <v>168</v>
      </c>
      <c r="D65" s="182">
        <f t="shared" ref="D65:I65" si="21">D33*(1-D58)</f>
        <v>0</v>
      </c>
      <c r="E65" s="182">
        <f t="shared" si="21"/>
        <v>0</v>
      </c>
      <c r="F65" s="182">
        <f t="shared" si="21"/>
        <v>0</v>
      </c>
      <c r="G65" s="182">
        <f t="shared" si="21"/>
        <v>0</v>
      </c>
      <c r="H65" s="182">
        <f t="shared" si="21"/>
        <v>0</v>
      </c>
      <c r="I65" s="182">
        <f t="shared" si="21"/>
        <v>0</v>
      </c>
      <c r="J65" s="174">
        <f t="shared" si="19"/>
        <v>0</v>
      </c>
    </row>
    <row r="66" spans="2:10" x14ac:dyDescent="0.15">
      <c r="B66" s="117">
        <v>5</v>
      </c>
      <c r="C66" s="124" t="s">
        <v>167</v>
      </c>
      <c r="D66" s="173">
        <f t="shared" ref="D66:I73" si="22">D34</f>
        <v>0</v>
      </c>
      <c r="E66" s="173">
        <f t="shared" si="22"/>
        <v>0</v>
      </c>
      <c r="F66" s="173">
        <f t="shared" si="22"/>
        <v>0</v>
      </c>
      <c r="G66" s="173">
        <f t="shared" si="22"/>
        <v>0</v>
      </c>
      <c r="H66" s="173">
        <f t="shared" si="22"/>
        <v>0</v>
      </c>
      <c r="I66" s="173">
        <f t="shared" si="22"/>
        <v>0</v>
      </c>
      <c r="J66" s="174">
        <f t="shared" si="19"/>
        <v>0</v>
      </c>
    </row>
    <row r="67" spans="2:10" x14ac:dyDescent="0.15">
      <c r="B67" s="117">
        <v>6</v>
      </c>
      <c r="C67" s="124" t="s">
        <v>164</v>
      </c>
      <c r="D67" s="173">
        <f t="shared" si="22"/>
        <v>0</v>
      </c>
      <c r="E67" s="173">
        <f t="shared" si="22"/>
        <v>0</v>
      </c>
      <c r="F67" s="173">
        <f t="shared" si="22"/>
        <v>0</v>
      </c>
      <c r="G67" s="173">
        <f t="shared" si="22"/>
        <v>0</v>
      </c>
      <c r="H67" s="173">
        <f t="shared" si="22"/>
        <v>0</v>
      </c>
      <c r="I67" s="173">
        <f t="shared" si="22"/>
        <v>0</v>
      </c>
      <c r="J67" s="174">
        <f t="shared" si="19"/>
        <v>0</v>
      </c>
    </row>
    <row r="68" spans="2:10" x14ac:dyDescent="0.15">
      <c r="B68" s="117">
        <v>7</v>
      </c>
      <c r="C68" s="124" t="s">
        <v>94</v>
      </c>
      <c r="D68" s="173">
        <f t="shared" si="22"/>
        <v>0</v>
      </c>
      <c r="E68" s="173">
        <f t="shared" si="22"/>
        <v>0</v>
      </c>
      <c r="F68" s="173">
        <f t="shared" si="22"/>
        <v>0</v>
      </c>
      <c r="G68" s="173">
        <f t="shared" si="22"/>
        <v>0</v>
      </c>
      <c r="H68" s="173">
        <f t="shared" si="22"/>
        <v>0</v>
      </c>
      <c r="I68" s="173">
        <f t="shared" si="22"/>
        <v>0</v>
      </c>
      <c r="J68" s="174">
        <f t="shared" si="19"/>
        <v>0</v>
      </c>
    </row>
    <row r="69" spans="2:10" x14ac:dyDescent="0.15">
      <c r="B69" s="117">
        <v>8</v>
      </c>
      <c r="C69" s="124" t="s">
        <v>95</v>
      </c>
      <c r="D69" s="173">
        <f t="shared" si="22"/>
        <v>0</v>
      </c>
      <c r="E69" s="173">
        <f t="shared" si="22"/>
        <v>0</v>
      </c>
      <c r="F69" s="173">
        <f t="shared" si="22"/>
        <v>0</v>
      </c>
      <c r="G69" s="173">
        <f t="shared" si="22"/>
        <v>0</v>
      </c>
      <c r="H69" s="173">
        <f t="shared" si="22"/>
        <v>0</v>
      </c>
      <c r="I69" s="173">
        <f t="shared" si="22"/>
        <v>0</v>
      </c>
      <c r="J69" s="174">
        <f t="shared" si="19"/>
        <v>0</v>
      </c>
    </row>
    <row r="70" spans="2:10" x14ac:dyDescent="0.15">
      <c r="B70" s="117">
        <v>9</v>
      </c>
      <c r="C70" s="124" t="s">
        <v>142</v>
      </c>
      <c r="D70" s="173">
        <f t="shared" si="22"/>
        <v>0</v>
      </c>
      <c r="E70" s="173">
        <f t="shared" si="22"/>
        <v>0</v>
      </c>
      <c r="F70" s="173">
        <f t="shared" si="22"/>
        <v>0</v>
      </c>
      <c r="G70" s="173">
        <f t="shared" si="22"/>
        <v>0</v>
      </c>
      <c r="H70" s="173">
        <f t="shared" si="22"/>
        <v>0</v>
      </c>
      <c r="I70" s="173">
        <f t="shared" si="22"/>
        <v>0</v>
      </c>
      <c r="J70" s="174">
        <f t="shared" si="19"/>
        <v>0</v>
      </c>
    </row>
    <row r="71" spans="2:10" x14ac:dyDescent="0.15">
      <c r="B71" s="117">
        <v>10</v>
      </c>
      <c r="C71" s="124" t="s">
        <v>138</v>
      </c>
      <c r="D71" s="173">
        <f t="shared" si="22"/>
        <v>0</v>
      </c>
      <c r="E71" s="173">
        <f t="shared" si="22"/>
        <v>0</v>
      </c>
      <c r="F71" s="173">
        <f t="shared" si="22"/>
        <v>0</v>
      </c>
      <c r="G71" s="173">
        <f t="shared" si="22"/>
        <v>0</v>
      </c>
      <c r="H71" s="173">
        <f t="shared" si="22"/>
        <v>0</v>
      </c>
      <c r="I71" s="173">
        <f t="shared" si="22"/>
        <v>0</v>
      </c>
      <c r="J71" s="174">
        <f t="shared" si="19"/>
        <v>0</v>
      </c>
    </row>
    <row r="72" spans="2:10" x14ac:dyDescent="0.15">
      <c r="B72" s="117">
        <v>11</v>
      </c>
      <c r="C72" s="124" t="s">
        <v>141</v>
      </c>
      <c r="D72" s="173">
        <f t="shared" si="22"/>
        <v>0</v>
      </c>
      <c r="E72" s="173">
        <f t="shared" si="22"/>
        <v>0</v>
      </c>
      <c r="F72" s="173">
        <f t="shared" si="22"/>
        <v>0</v>
      </c>
      <c r="G72" s="173">
        <f t="shared" si="22"/>
        <v>0</v>
      </c>
      <c r="H72" s="173">
        <f t="shared" si="22"/>
        <v>0</v>
      </c>
      <c r="I72" s="173">
        <f t="shared" si="22"/>
        <v>0</v>
      </c>
      <c r="J72" s="174">
        <f t="shared" si="19"/>
        <v>0</v>
      </c>
    </row>
    <row r="73" spans="2:10" x14ac:dyDescent="0.15">
      <c r="B73" s="117">
        <v>12</v>
      </c>
      <c r="C73" s="124" t="s">
        <v>96</v>
      </c>
      <c r="D73" s="173">
        <f t="shared" si="22"/>
        <v>0</v>
      </c>
      <c r="E73" s="173">
        <f t="shared" si="22"/>
        <v>0</v>
      </c>
      <c r="F73" s="173">
        <f t="shared" si="22"/>
        <v>0</v>
      </c>
      <c r="G73" s="173">
        <f t="shared" si="22"/>
        <v>0</v>
      </c>
      <c r="H73" s="173">
        <f t="shared" si="22"/>
        <v>0</v>
      </c>
      <c r="I73" s="173">
        <f t="shared" si="22"/>
        <v>0</v>
      </c>
      <c r="J73" s="174">
        <f t="shared" si="19"/>
        <v>0</v>
      </c>
    </row>
    <row r="74" spans="2:10" x14ac:dyDescent="0.15">
      <c r="B74" s="117">
        <v>13</v>
      </c>
      <c r="C74" s="124" t="s">
        <v>97</v>
      </c>
      <c r="D74" s="173">
        <f t="shared" ref="D74:I74" si="23">D42</f>
        <v>0</v>
      </c>
      <c r="E74" s="173">
        <f t="shared" si="23"/>
        <v>0</v>
      </c>
      <c r="F74" s="173">
        <f t="shared" si="23"/>
        <v>0</v>
      </c>
      <c r="G74" s="173">
        <f t="shared" si="23"/>
        <v>0</v>
      </c>
      <c r="H74" s="173">
        <f t="shared" si="23"/>
        <v>0</v>
      </c>
      <c r="I74" s="173">
        <f t="shared" si="23"/>
        <v>0</v>
      </c>
      <c r="J74" s="174">
        <f t="shared" si="19"/>
        <v>0</v>
      </c>
    </row>
    <row r="75" spans="2:10" x14ac:dyDescent="0.15">
      <c r="B75" s="117">
        <v>14</v>
      </c>
      <c r="C75" s="124" t="s">
        <v>102</v>
      </c>
      <c r="D75" s="173">
        <f t="shared" ref="D75:I75" si="24">D43</f>
        <v>0</v>
      </c>
      <c r="E75" s="173">
        <f t="shared" si="24"/>
        <v>0</v>
      </c>
      <c r="F75" s="173">
        <f t="shared" si="24"/>
        <v>0</v>
      </c>
      <c r="G75" s="173">
        <f t="shared" si="24"/>
        <v>0</v>
      </c>
      <c r="H75" s="173">
        <f t="shared" si="24"/>
        <v>0</v>
      </c>
      <c r="I75" s="173">
        <f t="shared" si="24"/>
        <v>0</v>
      </c>
      <c r="J75" s="174">
        <f t="shared" si="19"/>
        <v>0</v>
      </c>
    </row>
  </sheetData>
  <mergeCells count="4">
    <mergeCell ref="D11:I11"/>
    <mergeCell ref="D28:I28"/>
    <mergeCell ref="D4:I4"/>
    <mergeCell ref="D60:I60"/>
  </mergeCells>
  <phoneticPr fontId="2" type="noConversion"/>
  <dataValidations count="3">
    <dataValidation type="list" allowBlank="1" showInputMessage="1" showErrorMessage="1" error="Does system typical include beltline electrical?" prompt="Does system typical include beltline electrical?" sqref="D9:I9">
      <formula1>Beltline_Electrical</formula1>
    </dataValidation>
    <dataValidation type="whole" allowBlank="1" showInputMessage="1" showErrorMessage="1" error="Enter the workstation count using a value between 1 and 1,000." prompt="Enter the workstation count using a value between 1 and 1,000." sqref="D6:I6">
      <formula1>1</formula1>
      <formula2>1000</formula2>
    </dataValidation>
    <dataValidation type="list" allowBlank="1" showInputMessage="1" showErrorMessage="1" error="Select dominant workstation cluster configuration for typical." prompt="What is dominant workstation cluster configuration for typical?" sqref="D7:I7">
      <formula1>Cluster</formula1>
    </dataValidation>
  </dataValidations>
  <pageMargins left="0.5" right="0.5" top="0.5" bottom="0.5" header="0.5" footer="0.5"/>
  <pageSetup paperSize="5" scale="97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AA129"/>
  <sheetViews>
    <sheetView workbookViewId="0">
      <pane xSplit="3" ySplit="5" topLeftCell="U86" activePane="bottomRight" state="frozen"/>
      <selection activeCell="Y88" sqref="Y88"/>
      <selection pane="topRight" activeCell="Y88" sqref="Y88"/>
      <selection pane="bottomLeft" activeCell="Y88" sqref="Y88"/>
      <selection pane="bottomRight" activeCell="Y88" sqref="Y88"/>
    </sheetView>
  </sheetViews>
  <sheetFormatPr baseColWidth="10" defaultColWidth="8.83203125" defaultRowHeight="13" x14ac:dyDescent="0.15"/>
  <cols>
    <col min="1" max="2" customWidth="true" style="109" width="3.6640625" collapsed="true"/>
    <col min="3" max="3" customWidth="true" style="109" width="40.6640625" collapsed="true"/>
    <col min="4" max="11" customWidth="true" style="109" width="11.6640625" collapsed="true"/>
    <col min="12" max="12" customWidth="true" style="109" width="1.6640625" collapsed="true"/>
    <col min="13" max="27" customWidth="true" style="109" width="11.6640625" collapsed="true"/>
    <col min="28" max="16384" style="109" width="8.83203125" collapsed="true"/>
  </cols>
  <sheetData>
    <row r="1" spans="1:27" ht="18" x14ac:dyDescent="0.2">
      <c r="A1" s="108" t="s">
        <v>100</v>
      </c>
      <c r="B1" s="108"/>
    </row>
    <row r="2" spans="1:27" ht="18" x14ac:dyDescent="0.2">
      <c r="A2" s="108" t="s">
        <v>103</v>
      </c>
      <c r="B2" s="108"/>
      <c r="O2" s="110"/>
    </row>
    <row r="3" spans="1:27" ht="27" thickBot="1" x14ac:dyDescent="0.2">
      <c r="U3" s="111" t="s">
        <v>111</v>
      </c>
    </row>
    <row r="4" spans="1:27" ht="16.5" customHeight="1" thickBot="1" x14ac:dyDescent="0.25">
      <c r="D4" s="581" t="s">
        <v>123</v>
      </c>
      <c r="E4" s="582"/>
      <c r="F4" s="582"/>
      <c r="G4" s="582"/>
      <c r="H4" s="582"/>
      <c r="I4" s="582"/>
      <c r="J4" s="582"/>
      <c r="K4" s="583"/>
      <c r="M4" s="581" t="s">
        <v>123</v>
      </c>
      <c r="N4" s="582"/>
      <c r="O4" s="582"/>
      <c r="P4" s="582"/>
      <c r="Q4" s="582"/>
      <c r="R4" s="582"/>
      <c r="S4" s="582"/>
      <c r="T4" s="583"/>
      <c r="U4" s="112" t="s">
        <v>228</v>
      </c>
    </row>
    <row r="5" spans="1:27" ht="52" x14ac:dyDescent="0.15">
      <c r="C5" s="113" t="s">
        <v>86</v>
      </c>
      <c r="D5" s="114" t="s">
        <v>275</v>
      </c>
      <c r="E5" s="114" t="s">
        <v>276</v>
      </c>
      <c r="F5" s="114" t="s">
        <v>277</v>
      </c>
      <c r="G5" s="114" t="s">
        <v>278</v>
      </c>
      <c r="H5" s="114" t="s">
        <v>285</v>
      </c>
      <c r="I5" s="114" t="s">
        <v>286</v>
      </c>
      <c r="J5" s="114" t="s">
        <v>105</v>
      </c>
      <c r="K5" s="114" t="s">
        <v>104</v>
      </c>
      <c r="M5" s="115" t="s">
        <v>279</v>
      </c>
      <c r="N5" s="115" t="s">
        <v>280</v>
      </c>
      <c r="O5" s="115" t="s">
        <v>281</v>
      </c>
      <c r="P5" s="115" t="s">
        <v>282</v>
      </c>
      <c r="Q5" s="115" t="s">
        <v>283</v>
      </c>
      <c r="R5" s="115" t="s">
        <v>284</v>
      </c>
      <c r="S5" s="114" t="s">
        <v>105</v>
      </c>
      <c r="T5" s="114" t="s">
        <v>104</v>
      </c>
      <c r="U5" s="116" t="s">
        <v>292</v>
      </c>
      <c r="V5" s="189" t="s">
        <v>290</v>
      </c>
      <c r="W5" s="189" t="s">
        <v>287</v>
      </c>
      <c r="X5" s="189" t="s">
        <v>289</v>
      </c>
      <c r="Y5" s="189" t="s">
        <v>288</v>
      </c>
      <c r="Z5" s="189" t="s">
        <v>291</v>
      </c>
      <c r="AA5" s="189" t="s">
        <v>291</v>
      </c>
    </row>
    <row r="6" spans="1:27" x14ac:dyDescent="0.15">
      <c r="B6" s="117">
        <v>1</v>
      </c>
      <c r="C6" s="118" t="s">
        <v>165</v>
      </c>
      <c r="D6" s="119">
        <f>IF(Site_Delivery_Systems="Y",0,IF('System Typical BOM Translator'!$D62&gt;0,'System Typical BOM Translator'!$D62*VLOOKUP('System Typicals @ Industry Std'!$B6,Systems_National_Industry_Standards,9),0))</f>
        <v>0</v>
      </c>
      <c r="E6" s="119">
        <f>IF(Site_Delivery_Systems="Y",0,IF('System Typical BOM Translator'!$D62&gt;0,'System Typical BOM Translator'!$D62*VLOOKUP('System Typicals @ Industry Std'!$B6,Systems_National_Industry_Standards,10),0))</f>
        <v>0</v>
      </c>
      <c r="F6" s="119">
        <f>IF('System Typical BOM Translator'!$D62&gt;0,'System Typical BOM Translator'!$D62*VLOOKUP('System Typicals @ Industry Std'!$B6,Systems_National_Industry_Standards,12),0)</f>
        <v>0</v>
      </c>
      <c r="G6" s="119">
        <f>IF('System Typical BOM Translator'!$D62&gt;0,'System Typical BOM Translator'!$D62*VLOOKUP('System Typicals @ Industry Std'!$B6,Systems_National_Industry_Standards,13),0)</f>
        <v>0</v>
      </c>
      <c r="H6" s="119">
        <f>IF('System Typical BOM Translator'!$D62&gt;0,'System Typical BOM Translator'!$D62*VLOOKUP('System Typicals @ Industry Std'!$B6,Systems_National_Industry_Standards,15),0)</f>
        <v>0</v>
      </c>
      <c r="I6" s="119">
        <f>IF('System Typical BOM Translator'!$D62&gt;0,'System Typical BOM Translator'!$D62*VLOOKUP('System Typicals @ Industry Std'!$B6,Systems_National_Industry_Standards,16),0)</f>
        <v>0</v>
      </c>
      <c r="J6" s="119">
        <f>IF('System Typical BOM Translator'!$D62&gt;0,'System Typical BOM Translator'!$D62*VLOOKUP('System Typicals @ Industry Std'!$B6,Systems_National_Industry_Standards,8),0)</f>
        <v>0</v>
      </c>
      <c r="K6" s="119">
        <f>IF('System Typical BOM Translator'!$D62&gt;0,'System Typical BOM Translator'!$D62*VLOOKUP('System Typicals @ Industry Std'!$B6,Systems_National_Industry_Standards,7),0)</f>
        <v>0</v>
      </c>
      <c r="L6" s="120"/>
      <c r="M6" s="119">
        <f t="shared" ref="M6:R6" si="0">D6/60</f>
        <v>0</v>
      </c>
      <c r="N6" s="119">
        <f t="shared" si="0"/>
        <v>0</v>
      </c>
      <c r="O6" s="119">
        <f t="shared" si="0"/>
        <v>0</v>
      </c>
      <c r="P6" s="119">
        <f t="shared" si="0"/>
        <v>0</v>
      </c>
      <c r="Q6" s="119">
        <f t="shared" si="0"/>
        <v>0</v>
      </c>
      <c r="R6" s="119">
        <f t="shared" si="0"/>
        <v>0</v>
      </c>
      <c r="S6" s="121">
        <f>J6</f>
        <v>0</v>
      </c>
      <c r="T6" s="121">
        <f>K6</f>
        <v>0</v>
      </c>
      <c r="U6" s="117"/>
      <c r="V6" s="175"/>
      <c r="W6" s="175"/>
      <c r="X6" s="175"/>
      <c r="Y6" s="175"/>
      <c r="Z6" s="175"/>
      <c r="AA6" s="175"/>
    </row>
    <row r="7" spans="1:27" x14ac:dyDescent="0.15">
      <c r="B7" s="117">
        <v>2</v>
      </c>
      <c r="C7" s="118" t="s">
        <v>166</v>
      </c>
      <c r="D7" s="119">
        <f>IF(Site_Delivery_Systems="Y",0,IF('System Typical BOM Translator'!$D63&gt;0,'System Typical BOM Translator'!$D63*VLOOKUP('System Typicals @ Industry Std'!$B7,Systems_National_Industry_Standards,9),0))</f>
        <v>0</v>
      </c>
      <c r="E7" s="119">
        <f>IF(Site_Delivery_Systems="Y",0,IF('System Typical BOM Translator'!$D63&gt;0,'System Typical BOM Translator'!$D63*VLOOKUP('System Typicals @ Industry Std'!$B7,Systems_National_Industry_Standards,10),0))</f>
        <v>0</v>
      </c>
      <c r="F7" s="119">
        <f>IF('System Typical BOM Translator'!$D63&gt;0,'System Typical BOM Translator'!$D63*VLOOKUP('System Typicals @ Industry Std'!$B7,Systems_National_Industry_Standards,12),0)</f>
        <v>0</v>
      </c>
      <c r="G7" s="119">
        <f>IF('System Typical BOM Translator'!$D63&gt;0,'System Typical BOM Translator'!$D63*VLOOKUP('System Typicals @ Industry Std'!$B7,Systems_National_Industry_Standards,13),0)</f>
        <v>0</v>
      </c>
      <c r="H7" s="119">
        <f>IF('System Typical BOM Translator'!$D63&gt;0,'System Typical BOM Translator'!$D63*VLOOKUP('System Typicals @ Industry Std'!$B7,Systems_National_Industry_Standards,15),0)</f>
        <v>0</v>
      </c>
      <c r="I7" s="119">
        <f>IF('System Typical BOM Translator'!$D63&gt;0,'System Typical BOM Translator'!$D63*VLOOKUP('System Typicals @ Industry Std'!$B7,Systems_National_Industry_Standards,16),0)</f>
        <v>0</v>
      </c>
      <c r="J7" s="119">
        <f>IF('System Typical BOM Translator'!$D63&gt;0,'System Typical BOM Translator'!$D63*VLOOKUP('System Typicals @ Industry Std'!$B7,Systems_National_Industry_Standards,8),0)</f>
        <v>0</v>
      </c>
      <c r="K7" s="119">
        <f>IF('System Typical BOM Translator'!$D63&gt;0,'System Typical BOM Translator'!$D63*VLOOKUP('System Typicals @ Industry Std'!$B7,Systems_National_Industry_Standards,7),0)</f>
        <v>0</v>
      </c>
      <c r="L7" s="117"/>
      <c r="M7" s="119">
        <f t="shared" ref="M7:R19" si="1">D7/60</f>
        <v>0</v>
      </c>
      <c r="N7" s="119">
        <f t="shared" si="1"/>
        <v>0</v>
      </c>
      <c r="O7" s="119">
        <f t="shared" si="1"/>
        <v>0</v>
      </c>
      <c r="P7" s="119">
        <f t="shared" si="1"/>
        <v>0</v>
      </c>
      <c r="Q7" s="119">
        <f t="shared" si="1"/>
        <v>0</v>
      </c>
      <c r="R7" s="119">
        <f t="shared" si="1"/>
        <v>0</v>
      </c>
      <c r="S7" s="121">
        <f t="shared" ref="S7:S19" si="2">J7</f>
        <v>0</v>
      </c>
      <c r="T7" s="121">
        <f t="shared" ref="T7:T19" si="3">K7</f>
        <v>0</v>
      </c>
      <c r="U7" s="117"/>
      <c r="V7" s="175"/>
      <c r="W7" s="175"/>
      <c r="X7" s="175"/>
      <c r="Y7" s="175"/>
      <c r="Z7" s="175"/>
      <c r="AA7" s="175"/>
    </row>
    <row r="8" spans="1:27" x14ac:dyDescent="0.15">
      <c r="B8" s="117">
        <v>3</v>
      </c>
      <c r="C8" s="118" t="s">
        <v>140</v>
      </c>
      <c r="D8" s="119">
        <f>IF(Site_Delivery_Systems="Y",0,IF('System Typical BOM Translator'!$D64&gt;0,'System Typical BOM Translator'!$D64*VLOOKUP('System Typicals @ Industry Std'!$B8,Systems_National_Industry_Standards,9),0))</f>
        <v>0</v>
      </c>
      <c r="E8" s="119">
        <f>IF(Site_Delivery_Systems="Y",0,IF('System Typical BOM Translator'!$D64&gt;0,'System Typical BOM Translator'!$D64*VLOOKUP('System Typicals @ Industry Std'!$B8,Systems_National_Industry_Standards,10),0))</f>
        <v>0</v>
      </c>
      <c r="F8" s="119">
        <f>IF('System Typical BOM Translator'!$D64&gt;0,'System Typical BOM Translator'!$D64*VLOOKUP('System Typicals @ Industry Std'!$B8,Systems_National_Industry_Standards,12),0)</f>
        <v>0</v>
      </c>
      <c r="G8" s="119">
        <f>IF('System Typical BOM Translator'!$D64&gt;0,'System Typical BOM Translator'!$D64*VLOOKUP('System Typicals @ Industry Std'!$B8,Systems_National_Industry_Standards,13),0)</f>
        <v>0</v>
      </c>
      <c r="H8" s="119">
        <f>IF('System Typical BOM Translator'!$D64&gt;0,'System Typical BOM Translator'!$D64*VLOOKUP('System Typicals @ Industry Std'!$B8,Systems_National_Industry_Standards,15),0)</f>
        <v>0</v>
      </c>
      <c r="I8" s="119">
        <f>IF('System Typical BOM Translator'!$D64&gt;0,'System Typical BOM Translator'!$D64*VLOOKUP('System Typicals @ Industry Std'!$B8,Systems_National_Industry_Standards,16),0)</f>
        <v>0</v>
      </c>
      <c r="J8" s="119">
        <f>IF('System Typical BOM Translator'!$D64&gt;0,'System Typical BOM Translator'!$D64*VLOOKUP('System Typicals @ Industry Std'!$B8,Systems_National_Industry_Standards,8),0)</f>
        <v>0</v>
      </c>
      <c r="K8" s="119">
        <f>IF('System Typical BOM Translator'!$D64&gt;0,'System Typical BOM Translator'!$D64*VLOOKUP('System Typicals @ Industry Std'!$B8,Systems_National_Industry_Standards,7),0)</f>
        <v>0</v>
      </c>
      <c r="L8" s="122"/>
      <c r="M8" s="119">
        <f t="shared" si="1"/>
        <v>0</v>
      </c>
      <c r="N8" s="119">
        <f t="shared" si="1"/>
        <v>0</v>
      </c>
      <c r="O8" s="119">
        <f t="shared" si="1"/>
        <v>0</v>
      </c>
      <c r="P8" s="119">
        <f t="shared" si="1"/>
        <v>0</v>
      </c>
      <c r="Q8" s="119">
        <f t="shared" si="1"/>
        <v>0</v>
      </c>
      <c r="R8" s="119">
        <f t="shared" si="1"/>
        <v>0</v>
      </c>
      <c r="S8" s="121">
        <f t="shared" si="2"/>
        <v>0</v>
      </c>
      <c r="T8" s="121">
        <f t="shared" si="3"/>
        <v>0</v>
      </c>
      <c r="U8" s="122"/>
      <c r="V8" s="175"/>
      <c r="W8" s="175"/>
      <c r="X8" s="175"/>
      <c r="Y8" s="175"/>
      <c r="Z8" s="175"/>
      <c r="AA8" s="175"/>
    </row>
    <row r="9" spans="1:27" x14ac:dyDescent="0.15">
      <c r="B9" s="117">
        <v>4</v>
      </c>
      <c r="C9" s="123" t="s">
        <v>168</v>
      </c>
      <c r="D9" s="119">
        <f>IF(Site_Delivery_Systems="Y",0,IF('System Typical BOM Translator'!$D65&gt;0,'System Typical BOM Translator'!$D65*VLOOKUP('System Typicals @ Industry Std'!$B9,Systems_National_Industry_Standards,9),0))</f>
        <v>0</v>
      </c>
      <c r="E9" s="119">
        <f>IF(Site_Delivery_Systems="Y",0,IF('System Typical BOM Translator'!$D65&gt;0,'System Typical BOM Translator'!$D65*VLOOKUP('System Typicals @ Industry Std'!$B9,Systems_National_Industry_Standards,10),0))</f>
        <v>0</v>
      </c>
      <c r="F9" s="119">
        <f>IF('System Typical BOM Translator'!$D65&gt;0,'System Typical BOM Translator'!$D65*VLOOKUP('System Typicals @ Industry Std'!$B9,Systems_National_Industry_Standards,12),0)</f>
        <v>0</v>
      </c>
      <c r="G9" s="119">
        <f>IF('System Typical BOM Translator'!$D65&gt;0,'System Typical BOM Translator'!$D65*VLOOKUP('System Typicals @ Industry Std'!$B9,Systems_National_Industry_Standards,13),0)</f>
        <v>0</v>
      </c>
      <c r="H9" s="119">
        <f>IF('System Typical BOM Translator'!$D65&gt;0,'System Typical BOM Translator'!$D65*VLOOKUP('System Typicals @ Industry Std'!$B9,Systems_National_Industry_Standards,15),0)</f>
        <v>0</v>
      </c>
      <c r="I9" s="119">
        <f>IF('System Typical BOM Translator'!$D65&gt;0,'System Typical BOM Translator'!$D65*VLOOKUP('System Typicals @ Industry Std'!$B9,Systems_National_Industry_Standards,16),0)</f>
        <v>0</v>
      </c>
      <c r="J9" s="119">
        <f>IF('System Typical BOM Translator'!$D65&gt;0,'System Typical BOM Translator'!$D65*VLOOKUP('System Typicals @ Industry Std'!$B9,Systems_National_Industry_Standards,8),0)</f>
        <v>0</v>
      </c>
      <c r="K9" s="119">
        <f>IF('System Typical BOM Translator'!$D65&gt;0,'System Typical BOM Translator'!$D65*VLOOKUP('System Typicals @ Industry Std'!$B9,Systems_National_Industry_Standards,7),0)</f>
        <v>0</v>
      </c>
      <c r="L9" s="122"/>
      <c r="M9" s="119">
        <f t="shared" si="1"/>
        <v>0</v>
      </c>
      <c r="N9" s="119">
        <f t="shared" si="1"/>
        <v>0</v>
      </c>
      <c r="O9" s="119">
        <f t="shared" si="1"/>
        <v>0</v>
      </c>
      <c r="P9" s="119">
        <f t="shared" si="1"/>
        <v>0</v>
      </c>
      <c r="Q9" s="119">
        <f t="shared" si="1"/>
        <v>0</v>
      </c>
      <c r="R9" s="119">
        <f t="shared" si="1"/>
        <v>0</v>
      </c>
      <c r="S9" s="121">
        <f t="shared" si="2"/>
        <v>0</v>
      </c>
      <c r="T9" s="121">
        <f t="shared" si="3"/>
        <v>0</v>
      </c>
      <c r="U9" s="122"/>
      <c r="V9" s="175"/>
      <c r="W9" s="175"/>
      <c r="X9" s="175"/>
      <c r="Y9" s="175"/>
      <c r="Z9" s="175"/>
      <c r="AA9" s="175"/>
    </row>
    <row r="10" spans="1:27" x14ac:dyDescent="0.15">
      <c r="B10" s="117">
        <v>5</v>
      </c>
      <c r="C10" s="124" t="s">
        <v>167</v>
      </c>
      <c r="D10" s="119">
        <f>IF(Site_Delivery_Systems="Y",0,IF('System Typical BOM Translator'!$D66&gt;0,'System Typical BOM Translator'!$D66*VLOOKUP('System Typicals @ Industry Std'!$B10,Systems_National_Industry_Standards,9),0))</f>
        <v>0</v>
      </c>
      <c r="E10" s="119">
        <f>IF(Site_Delivery_Systems="Y",0,IF('System Typical BOM Translator'!$D66&gt;0,'System Typical BOM Translator'!$D66*VLOOKUP('System Typicals @ Industry Std'!$B10,Systems_National_Industry_Standards,10),0))</f>
        <v>0</v>
      </c>
      <c r="F10" s="119">
        <f>IF('System Typical BOM Translator'!$D66&gt;0,'System Typical BOM Translator'!$D66*VLOOKUP('System Typicals @ Industry Std'!$B10,Systems_National_Industry_Standards,12),0)</f>
        <v>0</v>
      </c>
      <c r="G10" s="119">
        <f>IF('System Typical BOM Translator'!$D66&gt;0,'System Typical BOM Translator'!$D66*VLOOKUP('System Typicals @ Industry Std'!$B10,Systems_National_Industry_Standards,13),0)</f>
        <v>0</v>
      </c>
      <c r="H10" s="119">
        <f>IF('System Typical BOM Translator'!$D66&gt;0,'System Typical BOM Translator'!$D66*VLOOKUP('System Typicals @ Industry Std'!$B10,Systems_National_Industry_Standards,15),0)</f>
        <v>0</v>
      </c>
      <c r="I10" s="119">
        <f>IF('System Typical BOM Translator'!$D66&gt;0,'System Typical BOM Translator'!$D66*VLOOKUP('System Typicals @ Industry Std'!$B10,Systems_National_Industry_Standards,16),0)</f>
        <v>0</v>
      </c>
      <c r="J10" s="119">
        <f>IF('System Typical BOM Translator'!$D66&gt;0,'System Typical BOM Translator'!$D66*VLOOKUP('System Typicals @ Industry Std'!$B10,Systems_National_Industry_Standards,8),0)</f>
        <v>0</v>
      </c>
      <c r="K10" s="119">
        <f>IF('System Typical BOM Translator'!$D66&gt;0,'System Typical BOM Translator'!$D66*VLOOKUP('System Typicals @ Industry Std'!$B10,Systems_National_Industry_Standards,7),0)</f>
        <v>0</v>
      </c>
      <c r="L10" s="122"/>
      <c r="M10" s="119">
        <f t="shared" si="1"/>
        <v>0</v>
      </c>
      <c r="N10" s="119">
        <f t="shared" si="1"/>
        <v>0</v>
      </c>
      <c r="O10" s="119">
        <f t="shared" si="1"/>
        <v>0</v>
      </c>
      <c r="P10" s="119">
        <f t="shared" si="1"/>
        <v>0</v>
      </c>
      <c r="Q10" s="119">
        <f t="shared" si="1"/>
        <v>0</v>
      </c>
      <c r="R10" s="119">
        <f t="shared" si="1"/>
        <v>0</v>
      </c>
      <c r="S10" s="121">
        <f t="shared" si="2"/>
        <v>0</v>
      </c>
      <c r="T10" s="121">
        <f t="shared" si="3"/>
        <v>0</v>
      </c>
      <c r="U10" s="122"/>
      <c r="V10" s="175"/>
      <c r="W10" s="175"/>
      <c r="X10" s="175"/>
      <c r="Y10" s="175"/>
      <c r="Z10" s="175"/>
      <c r="AA10" s="175"/>
    </row>
    <row r="11" spans="1:27" x14ac:dyDescent="0.15">
      <c r="B11" s="117">
        <v>6</v>
      </c>
      <c r="C11" s="124" t="s">
        <v>164</v>
      </c>
      <c r="D11" s="119">
        <f>IF(Site_Delivery_Systems="Y",0,IF('System Typical BOM Translator'!$D67&gt;0,'System Typical BOM Translator'!$D67*VLOOKUP('System Typicals @ Industry Std'!$B11,Systems_National_Industry_Standards,9),0))</f>
        <v>0</v>
      </c>
      <c r="E11" s="119">
        <f>IF(Site_Delivery_Systems="Y",0,IF('System Typical BOM Translator'!$D67&gt;0,'System Typical BOM Translator'!$D67*VLOOKUP('System Typicals @ Industry Std'!$B11,Systems_National_Industry_Standards,10),0))</f>
        <v>0</v>
      </c>
      <c r="F11" s="119">
        <f>IF('System Typical BOM Translator'!$D67&gt;0,'System Typical BOM Translator'!$D67*VLOOKUP('System Typicals @ Industry Std'!$B11,Systems_National_Industry_Standards,12),0)</f>
        <v>0</v>
      </c>
      <c r="G11" s="119">
        <f>IF('System Typical BOM Translator'!$D67&gt;0,'System Typical BOM Translator'!$D67*VLOOKUP('System Typicals @ Industry Std'!$B11,Systems_National_Industry_Standards,13),0)</f>
        <v>0</v>
      </c>
      <c r="H11" s="119">
        <f>IF('System Typical BOM Translator'!$D67&gt;0,'System Typical BOM Translator'!$D67*VLOOKUP('System Typicals @ Industry Std'!$B11,Systems_National_Industry_Standards,15),0)</f>
        <v>0</v>
      </c>
      <c r="I11" s="119">
        <f>IF('System Typical BOM Translator'!$D67&gt;0,'System Typical BOM Translator'!$D67*VLOOKUP('System Typicals @ Industry Std'!$B11,Systems_National_Industry_Standards,16),0)</f>
        <v>0</v>
      </c>
      <c r="J11" s="119">
        <f>IF('System Typical BOM Translator'!$D67&gt;0,'System Typical BOM Translator'!$D67*VLOOKUP('System Typicals @ Industry Std'!$B11,Systems_National_Industry_Standards,8),0)</f>
        <v>0</v>
      </c>
      <c r="K11" s="119">
        <f>IF('System Typical BOM Translator'!$D67&gt;0,'System Typical BOM Translator'!$D67*VLOOKUP('System Typicals @ Industry Std'!$B11,Systems_National_Industry_Standards,7),0)</f>
        <v>0</v>
      </c>
      <c r="L11" s="122"/>
      <c r="M11" s="119">
        <f t="shared" si="1"/>
        <v>0</v>
      </c>
      <c r="N11" s="119">
        <f t="shared" si="1"/>
        <v>0</v>
      </c>
      <c r="O11" s="119">
        <f t="shared" si="1"/>
        <v>0</v>
      </c>
      <c r="P11" s="119">
        <f t="shared" si="1"/>
        <v>0</v>
      </c>
      <c r="Q11" s="119">
        <f t="shared" si="1"/>
        <v>0</v>
      </c>
      <c r="R11" s="119">
        <f t="shared" si="1"/>
        <v>0</v>
      </c>
      <c r="S11" s="121">
        <f t="shared" si="2"/>
        <v>0</v>
      </c>
      <c r="T11" s="121">
        <f t="shared" si="3"/>
        <v>0</v>
      </c>
      <c r="U11" s="122"/>
      <c r="V11" s="175"/>
      <c r="W11" s="175"/>
      <c r="X11" s="175"/>
      <c r="Y11" s="175"/>
      <c r="Z11" s="175"/>
      <c r="AA11" s="175"/>
    </row>
    <row r="12" spans="1:27" x14ac:dyDescent="0.15">
      <c r="B12" s="117">
        <v>7</v>
      </c>
      <c r="C12" s="124" t="s">
        <v>94</v>
      </c>
      <c r="D12" s="119">
        <f>IF(Site_Delivery_Systems="Y",0,IF('System Typical BOM Translator'!$D68&gt;0,'System Typical BOM Translator'!$D68*VLOOKUP('System Typicals @ Industry Std'!$B12,Systems_National_Industry_Standards,9),0))</f>
        <v>0</v>
      </c>
      <c r="E12" s="119">
        <f>IF(Site_Delivery_Systems="Y",0,IF('System Typical BOM Translator'!$D68&gt;0,'System Typical BOM Translator'!$D68*VLOOKUP('System Typicals @ Industry Std'!$B12,Systems_National_Industry_Standards,10),0))</f>
        <v>0</v>
      </c>
      <c r="F12" s="119">
        <f>IF('System Typical BOM Translator'!$D68&gt;0,'System Typical BOM Translator'!$D68*VLOOKUP('System Typicals @ Industry Std'!$B12,Systems_National_Industry_Standards,12),0)</f>
        <v>0</v>
      </c>
      <c r="G12" s="119">
        <f>IF('System Typical BOM Translator'!$D68&gt;0,'System Typical BOM Translator'!$D68*VLOOKUP('System Typicals @ Industry Std'!$B12,Systems_National_Industry_Standards,13),0)</f>
        <v>0</v>
      </c>
      <c r="H12" s="119">
        <f>IF('System Typical BOM Translator'!$D68&gt;0,'System Typical BOM Translator'!$D68*VLOOKUP('System Typicals @ Industry Std'!$B12,Systems_National_Industry_Standards,15),0)</f>
        <v>0</v>
      </c>
      <c r="I12" s="119">
        <f>IF('System Typical BOM Translator'!$D68&gt;0,'System Typical BOM Translator'!$D68*VLOOKUP('System Typicals @ Industry Std'!$B12,Systems_National_Industry_Standards,16),0)</f>
        <v>0</v>
      </c>
      <c r="J12" s="119">
        <f>IF('System Typical BOM Translator'!$D68&gt;0,'System Typical BOM Translator'!$D68*VLOOKUP('System Typicals @ Industry Std'!$B12,Systems_National_Industry_Standards,8),0)</f>
        <v>0</v>
      </c>
      <c r="K12" s="119">
        <f>IF('System Typical BOM Translator'!$D68&gt;0,'System Typical BOM Translator'!$D68*VLOOKUP('System Typicals @ Industry Std'!$B12,Systems_National_Industry_Standards,7),0)</f>
        <v>0</v>
      </c>
      <c r="L12" s="122"/>
      <c r="M12" s="119">
        <f t="shared" si="1"/>
        <v>0</v>
      </c>
      <c r="N12" s="119">
        <f t="shared" si="1"/>
        <v>0</v>
      </c>
      <c r="O12" s="119">
        <f t="shared" si="1"/>
        <v>0</v>
      </c>
      <c r="P12" s="119">
        <f t="shared" si="1"/>
        <v>0</v>
      </c>
      <c r="Q12" s="119">
        <f t="shared" si="1"/>
        <v>0</v>
      </c>
      <c r="R12" s="119">
        <f t="shared" si="1"/>
        <v>0</v>
      </c>
      <c r="S12" s="121">
        <f t="shared" si="2"/>
        <v>0</v>
      </c>
      <c r="T12" s="121">
        <f t="shared" si="3"/>
        <v>0</v>
      </c>
      <c r="U12" s="122"/>
      <c r="V12" s="175"/>
      <c r="W12" s="175"/>
      <c r="X12" s="175"/>
      <c r="Y12" s="175"/>
      <c r="Z12" s="175"/>
      <c r="AA12" s="175"/>
    </row>
    <row r="13" spans="1:27" x14ac:dyDescent="0.15">
      <c r="B13" s="117">
        <v>8</v>
      </c>
      <c r="C13" s="124" t="s">
        <v>95</v>
      </c>
      <c r="D13" s="119">
        <f>IF(Site_Delivery_Systems="Y",0,IF('System Typical BOM Translator'!$D69&gt;0,'System Typical BOM Translator'!$D69*VLOOKUP('System Typicals @ Industry Std'!$B13,Systems_National_Industry_Standards,9),0))</f>
        <v>0</v>
      </c>
      <c r="E13" s="119">
        <f>IF(Site_Delivery_Systems="Y",0,IF('System Typical BOM Translator'!$D69&gt;0,'System Typical BOM Translator'!$D69*VLOOKUP('System Typicals @ Industry Std'!$B13,Systems_National_Industry_Standards,10),0))</f>
        <v>0</v>
      </c>
      <c r="F13" s="119">
        <f>IF('System Typical BOM Translator'!$D69&gt;0,'System Typical BOM Translator'!$D69*VLOOKUP('System Typicals @ Industry Std'!$B13,Systems_National_Industry_Standards,12),0)</f>
        <v>0</v>
      </c>
      <c r="G13" s="119">
        <f>IF('System Typical BOM Translator'!$D69&gt;0,'System Typical BOM Translator'!$D69*VLOOKUP('System Typicals @ Industry Std'!$B13,Systems_National_Industry_Standards,13),0)</f>
        <v>0</v>
      </c>
      <c r="H13" s="119">
        <f>IF('System Typical BOM Translator'!$D69&gt;0,'System Typical BOM Translator'!$D69*VLOOKUP('System Typicals @ Industry Std'!$B13,Systems_National_Industry_Standards,15),0)</f>
        <v>0</v>
      </c>
      <c r="I13" s="119">
        <f>IF('System Typical BOM Translator'!$D69&gt;0,'System Typical BOM Translator'!$D69*VLOOKUP('System Typicals @ Industry Std'!$B13,Systems_National_Industry_Standards,16),0)</f>
        <v>0</v>
      </c>
      <c r="J13" s="119">
        <f>IF('System Typical BOM Translator'!$D69&gt;0,'System Typical BOM Translator'!$D69*VLOOKUP('System Typicals @ Industry Std'!$B13,Systems_National_Industry_Standards,8),0)</f>
        <v>0</v>
      </c>
      <c r="K13" s="119">
        <f>IF('System Typical BOM Translator'!$D69&gt;0,'System Typical BOM Translator'!$D69*VLOOKUP('System Typicals @ Industry Std'!$B13,Systems_National_Industry_Standards,7),0)</f>
        <v>0</v>
      </c>
      <c r="L13" s="117"/>
      <c r="M13" s="119">
        <f t="shared" si="1"/>
        <v>0</v>
      </c>
      <c r="N13" s="119">
        <f t="shared" si="1"/>
        <v>0</v>
      </c>
      <c r="O13" s="119">
        <f t="shared" si="1"/>
        <v>0</v>
      </c>
      <c r="P13" s="119">
        <f t="shared" si="1"/>
        <v>0</v>
      </c>
      <c r="Q13" s="119">
        <f t="shared" si="1"/>
        <v>0</v>
      </c>
      <c r="R13" s="119">
        <f t="shared" si="1"/>
        <v>0</v>
      </c>
      <c r="S13" s="121">
        <f t="shared" si="2"/>
        <v>0</v>
      </c>
      <c r="T13" s="121">
        <f t="shared" si="3"/>
        <v>0</v>
      </c>
      <c r="U13" s="117"/>
      <c r="V13" s="175"/>
      <c r="W13" s="175"/>
      <c r="X13" s="175"/>
      <c r="Y13" s="175"/>
      <c r="Z13" s="175"/>
      <c r="AA13" s="175"/>
    </row>
    <row r="14" spans="1:27" x14ac:dyDescent="0.15">
      <c r="B14" s="117">
        <v>9</v>
      </c>
      <c r="C14" s="124" t="s">
        <v>142</v>
      </c>
      <c r="D14" s="119">
        <f>IF(Site_Delivery_Systems="Y",0,IF('System Typical BOM Translator'!$D70&gt;0,'System Typical BOM Translator'!$D70*VLOOKUP('System Typicals @ Industry Std'!$B14,Systems_National_Industry_Standards,9),0))</f>
        <v>0</v>
      </c>
      <c r="E14" s="119">
        <f>IF(Site_Delivery_Systems="Y",0,IF('System Typical BOM Translator'!$D70&gt;0,'System Typical BOM Translator'!$D70*VLOOKUP('System Typicals @ Industry Std'!$B14,Systems_National_Industry_Standards,10),0))</f>
        <v>0</v>
      </c>
      <c r="F14" s="119">
        <f>IF('System Typical BOM Translator'!$D70&gt;0,'System Typical BOM Translator'!$D70*VLOOKUP('System Typicals @ Industry Std'!$B14,Systems_National_Industry_Standards,12),0)</f>
        <v>0</v>
      </c>
      <c r="G14" s="119">
        <f>IF('System Typical BOM Translator'!$D70&gt;0,'System Typical BOM Translator'!$D70*VLOOKUP('System Typicals @ Industry Std'!$B14,Systems_National_Industry_Standards,13),0)</f>
        <v>0</v>
      </c>
      <c r="H14" s="119">
        <f>IF('System Typical BOM Translator'!$D70&gt;0,'System Typical BOM Translator'!$D70*VLOOKUP('System Typicals @ Industry Std'!$B14,Systems_National_Industry_Standards,15),0)</f>
        <v>0</v>
      </c>
      <c r="I14" s="119">
        <f>IF('System Typical BOM Translator'!$D70&gt;0,'System Typical BOM Translator'!$D70*VLOOKUP('System Typicals @ Industry Std'!$B14,Systems_National_Industry_Standards,16),0)</f>
        <v>0</v>
      </c>
      <c r="J14" s="119">
        <f>IF('System Typical BOM Translator'!$D70&gt;0,'System Typical BOM Translator'!$D70*VLOOKUP('System Typicals @ Industry Std'!$B14,Systems_National_Industry_Standards,8),0)</f>
        <v>0</v>
      </c>
      <c r="K14" s="119">
        <f>IF('System Typical BOM Translator'!$D70&gt;0,'System Typical BOM Translator'!$D70*VLOOKUP('System Typicals @ Industry Std'!$B14,Systems_National_Industry_Standards,7),0)</f>
        <v>0</v>
      </c>
      <c r="L14" s="117"/>
      <c r="M14" s="119">
        <f t="shared" si="1"/>
        <v>0</v>
      </c>
      <c r="N14" s="119">
        <f t="shared" si="1"/>
        <v>0</v>
      </c>
      <c r="O14" s="119">
        <f t="shared" si="1"/>
        <v>0</v>
      </c>
      <c r="P14" s="119">
        <f t="shared" si="1"/>
        <v>0</v>
      </c>
      <c r="Q14" s="119">
        <f t="shared" si="1"/>
        <v>0</v>
      </c>
      <c r="R14" s="119">
        <f t="shared" si="1"/>
        <v>0</v>
      </c>
      <c r="S14" s="121">
        <f t="shared" si="2"/>
        <v>0</v>
      </c>
      <c r="T14" s="121">
        <f t="shared" si="3"/>
        <v>0</v>
      </c>
      <c r="U14" s="117"/>
      <c r="V14" s="175"/>
      <c r="W14" s="175"/>
      <c r="X14" s="175"/>
      <c r="Y14" s="175"/>
      <c r="Z14" s="175"/>
      <c r="AA14" s="175"/>
    </row>
    <row r="15" spans="1:27" x14ac:dyDescent="0.15">
      <c r="B15" s="117">
        <v>10</v>
      </c>
      <c r="C15" s="124" t="s">
        <v>138</v>
      </c>
      <c r="D15" s="119">
        <f>IF(Site_Delivery_Systems="Y",0,IF('System Typical BOM Translator'!$D71&gt;0,'System Typical BOM Translator'!$D71*VLOOKUP('System Typicals @ Industry Std'!$B15,Systems_National_Industry_Standards,9),0))</f>
        <v>0</v>
      </c>
      <c r="E15" s="119">
        <f>IF(Site_Delivery_Systems="Y",0,IF('System Typical BOM Translator'!$D71&gt;0,'System Typical BOM Translator'!$D71*VLOOKUP('System Typicals @ Industry Std'!$B15,Systems_National_Industry_Standards,10),0))</f>
        <v>0</v>
      </c>
      <c r="F15" s="119">
        <f>IF('System Typical BOM Translator'!$D71&gt;0,'System Typical BOM Translator'!$D71*VLOOKUP('System Typicals @ Industry Std'!$B15,Systems_National_Industry_Standards,12),0)</f>
        <v>0</v>
      </c>
      <c r="G15" s="119">
        <f>IF('System Typical BOM Translator'!$D71&gt;0,'System Typical BOM Translator'!$D71*VLOOKUP('System Typicals @ Industry Std'!$B15,Systems_National_Industry_Standards,13),0)</f>
        <v>0</v>
      </c>
      <c r="H15" s="119">
        <f>IF('System Typical BOM Translator'!$D71&gt;0,'System Typical BOM Translator'!$D71*VLOOKUP('System Typicals @ Industry Std'!$B15,Systems_National_Industry_Standards,15),0)</f>
        <v>0</v>
      </c>
      <c r="I15" s="119">
        <f>IF('System Typical BOM Translator'!$D71&gt;0,'System Typical BOM Translator'!$D71*VLOOKUP('System Typicals @ Industry Std'!$B15,Systems_National_Industry_Standards,16),0)</f>
        <v>0</v>
      </c>
      <c r="J15" s="119">
        <f>IF('System Typical BOM Translator'!$D71&gt;0,'System Typical BOM Translator'!$D71*VLOOKUP('System Typicals @ Industry Std'!$B15,Systems_National_Industry_Standards,8),0)</f>
        <v>0</v>
      </c>
      <c r="K15" s="119">
        <f>IF('System Typical BOM Translator'!$D71&gt;0,'System Typical BOM Translator'!$D71*VLOOKUP('System Typicals @ Industry Std'!$B15,Systems_National_Industry_Standards,7),0)</f>
        <v>0</v>
      </c>
      <c r="L15" s="117"/>
      <c r="M15" s="119">
        <f t="shared" si="1"/>
        <v>0</v>
      </c>
      <c r="N15" s="119">
        <f t="shared" si="1"/>
        <v>0</v>
      </c>
      <c r="O15" s="119">
        <f t="shared" si="1"/>
        <v>0</v>
      </c>
      <c r="P15" s="119">
        <f t="shared" si="1"/>
        <v>0</v>
      </c>
      <c r="Q15" s="119">
        <f t="shared" si="1"/>
        <v>0</v>
      </c>
      <c r="R15" s="119">
        <f t="shared" si="1"/>
        <v>0</v>
      </c>
      <c r="S15" s="121">
        <f t="shared" si="2"/>
        <v>0</v>
      </c>
      <c r="T15" s="121">
        <f t="shared" si="3"/>
        <v>0</v>
      </c>
      <c r="U15" s="117"/>
      <c r="V15" s="175"/>
      <c r="W15" s="175"/>
      <c r="X15" s="175"/>
      <c r="Y15" s="175"/>
      <c r="Z15" s="175"/>
      <c r="AA15" s="175"/>
    </row>
    <row r="16" spans="1:27" x14ac:dyDescent="0.15">
      <c r="B16" s="117">
        <v>11</v>
      </c>
      <c r="C16" s="124" t="s">
        <v>141</v>
      </c>
      <c r="D16" s="119">
        <f>IF(Site_Delivery_Systems="Y",0,IF('System Typical BOM Translator'!$D72&gt;0,'System Typical BOM Translator'!$D72*VLOOKUP('System Typicals @ Industry Std'!$B16,Systems_National_Industry_Standards,9),0))</f>
        <v>0</v>
      </c>
      <c r="E16" s="119">
        <f>IF(Site_Delivery_Systems="Y",0,IF('System Typical BOM Translator'!$D72&gt;0,'System Typical BOM Translator'!$D72*VLOOKUP('System Typicals @ Industry Std'!$B16,Systems_National_Industry_Standards,10),0))</f>
        <v>0</v>
      </c>
      <c r="F16" s="119">
        <f>IF('System Typical BOM Translator'!$D72&gt;0,'System Typical BOM Translator'!$D72*VLOOKUP('System Typicals @ Industry Std'!$B16,Systems_National_Industry_Standards,12),0)</f>
        <v>0</v>
      </c>
      <c r="G16" s="119">
        <f>IF('System Typical BOM Translator'!$D72&gt;0,'System Typical BOM Translator'!$D72*VLOOKUP('System Typicals @ Industry Std'!$B16,Systems_National_Industry_Standards,13),0)</f>
        <v>0</v>
      </c>
      <c r="H16" s="119">
        <f>IF('System Typical BOM Translator'!$D72&gt;0,'System Typical BOM Translator'!$D72*VLOOKUP('System Typicals @ Industry Std'!$B16,Systems_National_Industry_Standards,15),0)</f>
        <v>0</v>
      </c>
      <c r="I16" s="119">
        <f>IF('System Typical BOM Translator'!$D72&gt;0,'System Typical BOM Translator'!$D72*VLOOKUP('System Typicals @ Industry Std'!$B16,Systems_National_Industry_Standards,16),0)</f>
        <v>0</v>
      </c>
      <c r="J16" s="119">
        <f>IF('System Typical BOM Translator'!$D72&gt;0,'System Typical BOM Translator'!$D72*VLOOKUP('System Typicals @ Industry Std'!$B16,Systems_National_Industry_Standards,8),0)</f>
        <v>0</v>
      </c>
      <c r="K16" s="119">
        <f>IF('System Typical BOM Translator'!$D72&gt;0,'System Typical BOM Translator'!$D72*VLOOKUP('System Typicals @ Industry Std'!$B16,Systems_National_Industry_Standards,7),0)</f>
        <v>0</v>
      </c>
      <c r="L16" s="117"/>
      <c r="M16" s="119">
        <f t="shared" si="1"/>
        <v>0</v>
      </c>
      <c r="N16" s="119">
        <f t="shared" si="1"/>
        <v>0</v>
      </c>
      <c r="O16" s="119">
        <f t="shared" si="1"/>
        <v>0</v>
      </c>
      <c r="P16" s="119">
        <f t="shared" si="1"/>
        <v>0</v>
      </c>
      <c r="Q16" s="119">
        <f t="shared" si="1"/>
        <v>0</v>
      </c>
      <c r="R16" s="119">
        <f t="shared" si="1"/>
        <v>0</v>
      </c>
      <c r="S16" s="121">
        <f t="shared" si="2"/>
        <v>0</v>
      </c>
      <c r="T16" s="121">
        <f t="shared" si="3"/>
        <v>0</v>
      </c>
      <c r="U16" s="117"/>
      <c r="V16" s="175"/>
      <c r="W16" s="175"/>
      <c r="X16" s="175"/>
      <c r="Y16" s="175"/>
      <c r="Z16" s="175"/>
      <c r="AA16" s="175"/>
    </row>
    <row r="17" spans="2:27" x14ac:dyDescent="0.15">
      <c r="B17" s="117">
        <v>12</v>
      </c>
      <c r="C17" s="124" t="s">
        <v>96</v>
      </c>
      <c r="D17" s="119">
        <f>IF(Site_Delivery_Systems="Y",0,IF('System Typical BOM Translator'!$D73&gt;0,'System Typical BOM Translator'!$D73*VLOOKUP('System Typicals @ Industry Std'!$B17,Systems_National_Industry_Standards,9),0))</f>
        <v>0</v>
      </c>
      <c r="E17" s="119">
        <f>IF(Site_Delivery_Systems="Y",0,IF('System Typical BOM Translator'!$D73&gt;0,'System Typical BOM Translator'!$D73*VLOOKUP('System Typicals @ Industry Std'!$B17,Systems_National_Industry_Standards,10),0))</f>
        <v>0</v>
      </c>
      <c r="F17" s="119">
        <f>IF('System Typical BOM Translator'!$D73&gt;0,'System Typical BOM Translator'!$D73*VLOOKUP('System Typicals @ Industry Std'!$B17,Systems_National_Industry_Standards,12),0)</f>
        <v>0</v>
      </c>
      <c r="G17" s="119">
        <f>IF('System Typical BOM Translator'!$D73&gt;0,'System Typical BOM Translator'!$D73*VLOOKUP('System Typicals @ Industry Std'!$B17,Systems_National_Industry_Standards,13),0)</f>
        <v>0</v>
      </c>
      <c r="H17" s="119">
        <f>IF('System Typical BOM Translator'!$D73&gt;0,'System Typical BOM Translator'!$D73*VLOOKUP('System Typicals @ Industry Std'!$B17,Systems_National_Industry_Standards,15),0)</f>
        <v>0</v>
      </c>
      <c r="I17" s="119">
        <f>IF('System Typical BOM Translator'!$D73&gt;0,'System Typical BOM Translator'!$D73*VLOOKUP('System Typicals @ Industry Std'!$B17,Systems_National_Industry_Standards,16),0)</f>
        <v>0</v>
      </c>
      <c r="J17" s="119">
        <f>IF('System Typical BOM Translator'!$D73&gt;0,'System Typical BOM Translator'!$D73*VLOOKUP('System Typicals @ Industry Std'!$B17,Systems_National_Industry_Standards,8),0)</f>
        <v>0</v>
      </c>
      <c r="K17" s="119">
        <f>IF('System Typical BOM Translator'!$D73&gt;0,'System Typical BOM Translator'!$D73*VLOOKUP('System Typicals @ Industry Std'!$B17,Systems_National_Industry_Standards,7),0)</f>
        <v>0</v>
      </c>
      <c r="L17" s="117"/>
      <c r="M17" s="119">
        <f t="shared" si="1"/>
        <v>0</v>
      </c>
      <c r="N17" s="119">
        <f t="shared" si="1"/>
        <v>0</v>
      </c>
      <c r="O17" s="119">
        <f t="shared" si="1"/>
        <v>0</v>
      </c>
      <c r="P17" s="119">
        <f t="shared" si="1"/>
        <v>0</v>
      </c>
      <c r="Q17" s="119">
        <f t="shared" si="1"/>
        <v>0</v>
      </c>
      <c r="R17" s="119">
        <f t="shared" si="1"/>
        <v>0</v>
      </c>
      <c r="S17" s="121">
        <f t="shared" si="2"/>
        <v>0</v>
      </c>
      <c r="T17" s="121">
        <f t="shared" si="3"/>
        <v>0</v>
      </c>
      <c r="U17" s="117"/>
      <c r="V17" s="175"/>
      <c r="W17" s="175"/>
      <c r="X17" s="175"/>
      <c r="Y17" s="175"/>
      <c r="Z17" s="175"/>
      <c r="AA17" s="175"/>
    </row>
    <row r="18" spans="2:27" x14ac:dyDescent="0.15">
      <c r="B18" s="117">
        <v>13</v>
      </c>
      <c r="C18" s="124" t="s">
        <v>97</v>
      </c>
      <c r="D18" s="119">
        <f>IF(Site_Delivery_Systems="Y",0,IF('System Typical BOM Translator'!$D74&gt;0,'System Typical BOM Translator'!$D74*VLOOKUP('System Typicals @ Industry Std'!$B18,Systems_National_Industry_Standards,9),0))</f>
        <v>0</v>
      </c>
      <c r="E18" s="119">
        <f>IF(Site_Delivery_Systems="Y",0,IF('System Typical BOM Translator'!$D74&gt;0,'System Typical BOM Translator'!$D74*VLOOKUP('System Typicals @ Industry Std'!$B18,Systems_National_Industry_Standards,10),0))</f>
        <v>0</v>
      </c>
      <c r="F18" s="119">
        <f>IF('System Typical BOM Translator'!$D74&gt;0,'System Typical BOM Translator'!$D74*VLOOKUP('System Typicals @ Industry Std'!$B18,Systems_National_Industry_Standards,12),0)</f>
        <v>0</v>
      </c>
      <c r="G18" s="119">
        <f>IF('System Typical BOM Translator'!$D74&gt;0,'System Typical BOM Translator'!$D74*VLOOKUP('System Typicals @ Industry Std'!$B18,Systems_National_Industry_Standards,13),0)</f>
        <v>0</v>
      </c>
      <c r="H18" s="119">
        <f>IF('System Typical BOM Translator'!$D74&gt;0,'System Typical BOM Translator'!$D74*VLOOKUP('System Typicals @ Industry Std'!$B18,Systems_National_Industry_Standards,15),0)</f>
        <v>0</v>
      </c>
      <c r="I18" s="119">
        <f>IF('System Typical BOM Translator'!$D74&gt;0,'System Typical BOM Translator'!$D74*VLOOKUP('System Typicals @ Industry Std'!$B18,Systems_National_Industry_Standards,16),0)</f>
        <v>0</v>
      </c>
      <c r="J18" s="119">
        <f>IF('System Typical BOM Translator'!$D74&gt;0,'System Typical BOM Translator'!$D74*VLOOKUP('System Typicals @ Industry Std'!$B18,Systems_National_Industry_Standards,8),0)</f>
        <v>0</v>
      </c>
      <c r="K18" s="119">
        <f>IF('System Typical BOM Translator'!$D74&gt;0,'System Typical BOM Translator'!$D74*VLOOKUP('System Typicals @ Industry Std'!$B18,Systems_National_Industry_Standards,7),0)</f>
        <v>0</v>
      </c>
      <c r="L18" s="117"/>
      <c r="M18" s="119">
        <f t="shared" si="1"/>
        <v>0</v>
      </c>
      <c r="N18" s="119">
        <f t="shared" si="1"/>
        <v>0</v>
      </c>
      <c r="O18" s="119">
        <f t="shared" si="1"/>
        <v>0</v>
      </c>
      <c r="P18" s="119">
        <f t="shared" si="1"/>
        <v>0</v>
      </c>
      <c r="Q18" s="119">
        <f t="shared" si="1"/>
        <v>0</v>
      </c>
      <c r="R18" s="119">
        <f t="shared" si="1"/>
        <v>0</v>
      </c>
      <c r="S18" s="121">
        <f t="shared" si="2"/>
        <v>0</v>
      </c>
      <c r="T18" s="121">
        <f t="shared" si="3"/>
        <v>0</v>
      </c>
      <c r="U18" s="117"/>
      <c r="V18" s="175"/>
      <c r="W18" s="175"/>
      <c r="X18" s="175"/>
      <c r="Y18" s="175"/>
      <c r="Z18" s="175"/>
      <c r="AA18" s="175"/>
    </row>
    <row r="19" spans="2:27" x14ac:dyDescent="0.15">
      <c r="B19" s="117">
        <v>14</v>
      </c>
      <c r="C19" s="124" t="s">
        <v>102</v>
      </c>
      <c r="D19" s="119">
        <f>IF(Site_Delivery_Systems="Y",0,IF('System Typical BOM Translator'!$D75&gt;0,'System Typical BOM Translator'!$D75*VLOOKUP('System Typicals @ Industry Std'!$B19,Systems_National_Industry_Standards,9),0))</f>
        <v>0</v>
      </c>
      <c r="E19" s="119">
        <f>IF(Site_Delivery_Systems="Y",0,IF('System Typical BOM Translator'!$D75&gt;0,'System Typical BOM Translator'!$D75*VLOOKUP('System Typicals @ Industry Std'!$B19,Systems_National_Industry_Standards,10),0))</f>
        <v>0</v>
      </c>
      <c r="F19" s="119">
        <f>IF('System Typical BOM Translator'!$D75&gt;0,'System Typical BOM Translator'!$D75*VLOOKUP('System Typicals @ Industry Std'!$B19,Systems_National_Industry_Standards,12),0)</f>
        <v>0</v>
      </c>
      <c r="G19" s="119">
        <f>IF('System Typical BOM Translator'!$D75&gt;0,'System Typical BOM Translator'!$D75*VLOOKUP('System Typicals @ Industry Std'!$B19,Systems_National_Industry_Standards,13),0)</f>
        <v>0</v>
      </c>
      <c r="H19" s="119">
        <f>IF('System Typical BOM Translator'!$D75&gt;0,'System Typical BOM Translator'!$D75*VLOOKUP('System Typicals @ Industry Std'!$B19,Systems_National_Industry_Standards,15),0)</f>
        <v>0</v>
      </c>
      <c r="I19" s="119">
        <f>IF('System Typical BOM Translator'!$D75&gt;0,'System Typical BOM Translator'!$D75*VLOOKUP('System Typicals @ Industry Std'!$B19,Systems_National_Industry_Standards,16),0)</f>
        <v>0</v>
      </c>
      <c r="J19" s="119">
        <f>IF('System Typical BOM Translator'!$D75&gt;0,'System Typical BOM Translator'!$D75*VLOOKUP('System Typicals @ Industry Std'!$B19,Systems_National_Industry_Standards,8),0)</f>
        <v>0</v>
      </c>
      <c r="K19" s="119">
        <f>IF('System Typical BOM Translator'!$D75&gt;0,'System Typical BOM Translator'!$D75*VLOOKUP('System Typicals @ Industry Std'!$B19,Systems_National_Industry_Standards,7),0)</f>
        <v>0</v>
      </c>
      <c r="L19" s="117"/>
      <c r="M19" s="119">
        <f t="shared" si="1"/>
        <v>0</v>
      </c>
      <c r="N19" s="119">
        <f t="shared" si="1"/>
        <v>0</v>
      </c>
      <c r="O19" s="119">
        <f t="shared" si="1"/>
        <v>0</v>
      </c>
      <c r="P19" s="119">
        <f t="shared" si="1"/>
        <v>0</v>
      </c>
      <c r="Q19" s="119">
        <f t="shared" si="1"/>
        <v>0</v>
      </c>
      <c r="R19" s="119">
        <f t="shared" si="1"/>
        <v>0</v>
      </c>
      <c r="S19" s="121">
        <f t="shared" si="2"/>
        <v>0</v>
      </c>
      <c r="T19" s="121">
        <f t="shared" si="3"/>
        <v>0</v>
      </c>
      <c r="U19" s="117"/>
      <c r="V19" s="175"/>
      <c r="W19" s="175"/>
      <c r="X19" s="175"/>
      <c r="Y19" s="175"/>
      <c r="Z19" s="175"/>
      <c r="AA19" s="175"/>
    </row>
    <row r="20" spans="2:27" ht="14" thickBot="1" x14ac:dyDescent="0.2">
      <c r="C20" s="109" t="s">
        <v>107</v>
      </c>
      <c r="D20" s="125">
        <f t="shared" ref="D20:K20" si="4">SUM(D6:D19)</f>
        <v>0</v>
      </c>
      <c r="E20" s="125">
        <f t="shared" si="4"/>
        <v>0</v>
      </c>
      <c r="F20" s="125">
        <f t="shared" si="4"/>
        <v>0</v>
      </c>
      <c r="G20" s="125">
        <f t="shared" si="4"/>
        <v>0</v>
      </c>
      <c r="H20" s="125">
        <f t="shared" si="4"/>
        <v>0</v>
      </c>
      <c r="I20" s="125">
        <f t="shared" si="4"/>
        <v>0</v>
      </c>
      <c r="J20" s="125">
        <f t="shared" si="4"/>
        <v>0</v>
      </c>
      <c r="K20" s="125">
        <f t="shared" si="4"/>
        <v>0</v>
      </c>
      <c r="M20" s="125">
        <f t="shared" ref="M20:T20" si="5">SUM(M6:M19)</f>
        <v>0</v>
      </c>
      <c r="N20" s="125">
        <f t="shared" si="5"/>
        <v>0</v>
      </c>
      <c r="O20" s="125">
        <f t="shared" si="5"/>
        <v>0</v>
      </c>
      <c r="P20" s="125">
        <f t="shared" si="5"/>
        <v>0</v>
      </c>
      <c r="Q20" s="125">
        <f t="shared" si="5"/>
        <v>0</v>
      </c>
      <c r="R20" s="125">
        <f t="shared" si="5"/>
        <v>0</v>
      </c>
      <c r="S20" s="125">
        <f t="shared" si="5"/>
        <v>0</v>
      </c>
      <c r="T20" s="125">
        <f t="shared" si="5"/>
        <v>0</v>
      </c>
      <c r="U20" s="125">
        <f>T20/950</f>
        <v>0</v>
      </c>
      <c r="V20" s="190">
        <f>IF(Typical_1_Qty="",0,IF(Typical_1_Qty=0,0,(SUM(M20:N20)/Typical_1_Qty)))</f>
        <v>0</v>
      </c>
      <c r="W20" s="190">
        <f>IF(Typical_1_Qty="",0,IF(Typical_1_Qty=0,0,SUM(O20:P20)/Typical_1_Qty))</f>
        <v>0</v>
      </c>
      <c r="X20" s="190">
        <f>IF(Typical_1_Qty="",0,IF(Typical_1_Qty=0,0,SUM(Q20)/Typical_1_Qty))</f>
        <v>0</v>
      </c>
      <c r="Y20" s="190">
        <f>IF(Typical_1_Qty="",0,IF(Typical_1_Qty=0,0,SUM(R20)/Typical_1_Qty))</f>
        <v>0</v>
      </c>
      <c r="Z20" s="190">
        <f>SUM(W20:Y20)</f>
        <v>0</v>
      </c>
      <c r="AA20" s="190">
        <f>Z20+V20</f>
        <v>0</v>
      </c>
    </row>
    <row r="21" spans="2:27" ht="15" thickTop="1" thickBot="1" x14ac:dyDescent="0.2">
      <c r="O21" s="126"/>
      <c r="P21" s="126"/>
    </row>
    <row r="22" spans="2:27" ht="17" thickBot="1" x14ac:dyDescent="0.25">
      <c r="D22" s="581" t="s">
        <v>124</v>
      </c>
      <c r="E22" s="582"/>
      <c r="F22" s="582"/>
      <c r="G22" s="582"/>
      <c r="H22" s="582"/>
      <c r="I22" s="582"/>
      <c r="J22" s="582"/>
      <c r="K22" s="583"/>
      <c r="M22" s="581" t="s">
        <v>124</v>
      </c>
      <c r="N22" s="582"/>
      <c r="O22" s="582"/>
      <c r="P22" s="582"/>
      <c r="Q22" s="582"/>
      <c r="R22" s="582"/>
      <c r="S22" s="582"/>
      <c r="T22" s="583"/>
    </row>
    <row r="23" spans="2:27" ht="52" x14ac:dyDescent="0.15">
      <c r="C23" s="113" t="s">
        <v>87</v>
      </c>
      <c r="D23" s="114" t="s">
        <v>275</v>
      </c>
      <c r="E23" s="114" t="s">
        <v>276</v>
      </c>
      <c r="F23" s="114" t="s">
        <v>277</v>
      </c>
      <c r="G23" s="114" t="s">
        <v>278</v>
      </c>
      <c r="H23" s="114" t="s">
        <v>285</v>
      </c>
      <c r="I23" s="114" t="s">
        <v>286</v>
      </c>
      <c r="J23" s="114" t="s">
        <v>105</v>
      </c>
      <c r="K23" s="114" t="s">
        <v>104</v>
      </c>
      <c r="M23" s="115" t="s">
        <v>279</v>
      </c>
      <c r="N23" s="115" t="s">
        <v>280</v>
      </c>
      <c r="O23" s="115" t="s">
        <v>281</v>
      </c>
      <c r="P23" s="115" t="s">
        <v>282</v>
      </c>
      <c r="Q23" s="115" t="s">
        <v>283</v>
      </c>
      <c r="R23" s="115" t="s">
        <v>284</v>
      </c>
      <c r="S23" s="114" t="s">
        <v>105</v>
      </c>
      <c r="T23" s="114" t="s">
        <v>104</v>
      </c>
      <c r="V23" s="189" t="s">
        <v>290</v>
      </c>
      <c r="W23" s="189" t="s">
        <v>287</v>
      </c>
      <c r="X23" s="189" t="s">
        <v>289</v>
      </c>
      <c r="Y23" s="189" t="s">
        <v>288</v>
      </c>
      <c r="Z23" s="189" t="s">
        <v>291</v>
      </c>
      <c r="AA23" s="189" t="s">
        <v>291</v>
      </c>
    </row>
    <row r="24" spans="2:27" x14ac:dyDescent="0.15">
      <c r="B24" s="117">
        <v>1</v>
      </c>
      <c r="C24" s="118" t="s">
        <v>165</v>
      </c>
      <c r="D24" s="119">
        <f>IF(Site_Delivery_Systems="Y",0,IF('System Typical BOM Translator'!$E62&gt;0,'System Typical BOM Translator'!$E62*VLOOKUP('System Typicals @ Industry Std'!$B24,Systems_National_Industry_Standards,9),0))</f>
        <v>0</v>
      </c>
      <c r="E24" s="119">
        <f>IF(Site_Delivery_Systems="Y",0,IF('System Typical BOM Translator'!$E62&gt;0,'System Typical BOM Translator'!$E62*VLOOKUP('System Typicals @ Industry Std'!$B24,Systems_National_Industry_Standards,10),0))</f>
        <v>0</v>
      </c>
      <c r="F24" s="119">
        <f>IF('System Typical BOM Translator'!$E62&gt;0,'System Typical BOM Translator'!$E62*VLOOKUP('System Typicals @ Industry Std'!$B24,Systems_National_Industry_Standards,12),0)</f>
        <v>0</v>
      </c>
      <c r="G24" s="119">
        <f>IF('System Typical BOM Translator'!$E62&gt;0,'System Typical BOM Translator'!$E62*VLOOKUP('System Typicals @ Industry Std'!$B24,Systems_National_Industry_Standards,13),0)</f>
        <v>0</v>
      </c>
      <c r="H24" s="119">
        <f>IF('System Typical BOM Translator'!$E62&gt;0,'System Typical BOM Translator'!$E62*VLOOKUP('System Typicals @ Industry Std'!$B24,Systems_National_Industry_Standards,15),0)</f>
        <v>0</v>
      </c>
      <c r="I24" s="119">
        <f>IF('System Typical BOM Translator'!$E62&gt;0,'System Typical BOM Translator'!$E62*VLOOKUP('System Typicals @ Industry Std'!$B24,Systems_National_Industry_Standards,16),0)</f>
        <v>0</v>
      </c>
      <c r="J24" s="119">
        <f>IF('System Typical BOM Translator'!$E62&gt;0,'System Typical BOM Translator'!$E62*VLOOKUP('System Typicals @ Industry Std'!$B24,Systems_National_Industry_Standards,8),0)</f>
        <v>0</v>
      </c>
      <c r="K24" s="119">
        <f>IF('System Typical BOM Translator'!$E62&gt;0,'System Typical BOM Translator'!$E62*VLOOKUP('System Typicals @ Industry Std'!$B24,Systems_National_Industry_Standards,7),0)</f>
        <v>0</v>
      </c>
      <c r="L24" s="120"/>
      <c r="M24" s="119">
        <f t="shared" ref="M24:R24" si="6">D24/60</f>
        <v>0</v>
      </c>
      <c r="N24" s="119">
        <f t="shared" si="6"/>
        <v>0</v>
      </c>
      <c r="O24" s="119">
        <f t="shared" si="6"/>
        <v>0</v>
      </c>
      <c r="P24" s="119">
        <f t="shared" si="6"/>
        <v>0</v>
      </c>
      <c r="Q24" s="119">
        <f t="shared" si="6"/>
        <v>0</v>
      </c>
      <c r="R24" s="119">
        <f t="shared" si="6"/>
        <v>0</v>
      </c>
      <c r="S24" s="121">
        <f>J24</f>
        <v>0</v>
      </c>
      <c r="T24" s="121">
        <f>K24</f>
        <v>0</v>
      </c>
      <c r="U24" s="117"/>
      <c r="V24" s="175"/>
      <c r="W24" s="175"/>
      <c r="X24" s="175"/>
      <c r="Y24" s="175"/>
      <c r="Z24" s="175"/>
      <c r="AA24" s="175"/>
    </row>
    <row r="25" spans="2:27" x14ac:dyDescent="0.15">
      <c r="B25" s="117">
        <v>2</v>
      </c>
      <c r="C25" s="118" t="s">
        <v>166</v>
      </c>
      <c r="D25" s="119">
        <f>IF(Site_Delivery_Systems="Y",0,IF('System Typical BOM Translator'!$E63&gt;0,'System Typical BOM Translator'!$E63*VLOOKUP('System Typicals @ Industry Std'!$B25,Systems_National_Industry_Standards,9),0))</f>
        <v>0</v>
      </c>
      <c r="E25" s="119">
        <f>IF(Site_Delivery_Systems="Y",0,IF('System Typical BOM Translator'!$E63&gt;0,'System Typical BOM Translator'!$E63*VLOOKUP('System Typicals @ Industry Std'!$B25,Systems_National_Industry_Standards,10),0))</f>
        <v>0</v>
      </c>
      <c r="F25" s="119">
        <f>IF('System Typical BOM Translator'!$E63&gt;0,'System Typical BOM Translator'!$E63*VLOOKUP('System Typicals @ Industry Std'!$B25,Systems_National_Industry_Standards,12),0)</f>
        <v>0</v>
      </c>
      <c r="G25" s="119">
        <f>IF('System Typical BOM Translator'!$E63&gt;0,'System Typical BOM Translator'!$E63*VLOOKUP('System Typicals @ Industry Std'!$B25,Systems_National_Industry_Standards,13),0)</f>
        <v>0</v>
      </c>
      <c r="H25" s="119">
        <f>IF('System Typical BOM Translator'!$E63&gt;0,'System Typical BOM Translator'!$E63*VLOOKUP('System Typicals @ Industry Std'!$B25,Systems_National_Industry_Standards,15),0)</f>
        <v>0</v>
      </c>
      <c r="I25" s="119">
        <f>IF('System Typical BOM Translator'!$E63&gt;0,'System Typical BOM Translator'!$E63*VLOOKUP('System Typicals @ Industry Std'!$B25,Systems_National_Industry_Standards,16),0)</f>
        <v>0</v>
      </c>
      <c r="J25" s="119">
        <f>IF('System Typical BOM Translator'!$E63&gt;0,'System Typical BOM Translator'!$E63*VLOOKUP('System Typicals @ Industry Std'!$B25,Systems_National_Industry_Standards,8),0)</f>
        <v>0</v>
      </c>
      <c r="K25" s="119">
        <f>IF('System Typical BOM Translator'!$E63&gt;0,'System Typical BOM Translator'!$E63*VLOOKUP('System Typicals @ Industry Std'!$B25,Systems_National_Industry_Standards,7),0)</f>
        <v>0</v>
      </c>
      <c r="L25" s="117"/>
      <c r="M25" s="119">
        <f t="shared" ref="M25:M37" si="7">D25/60</f>
        <v>0</v>
      </c>
      <c r="N25" s="119">
        <f t="shared" ref="N25:N37" si="8">E25/60</f>
        <v>0</v>
      </c>
      <c r="O25" s="119">
        <f t="shared" ref="O25:O37" si="9">F25/60</f>
        <v>0</v>
      </c>
      <c r="P25" s="119">
        <f t="shared" ref="P25:P37" si="10">G25/60</f>
        <v>0</v>
      </c>
      <c r="Q25" s="119">
        <f t="shared" ref="Q25:Q37" si="11">H25/60</f>
        <v>0</v>
      </c>
      <c r="R25" s="119">
        <f t="shared" ref="R25:R37" si="12">I25/60</f>
        <v>0</v>
      </c>
      <c r="S25" s="121">
        <f t="shared" ref="S25:S37" si="13">J25</f>
        <v>0</v>
      </c>
      <c r="T25" s="121">
        <f t="shared" ref="T25:T37" si="14">K25</f>
        <v>0</v>
      </c>
      <c r="U25" s="117"/>
      <c r="V25" s="175"/>
      <c r="W25" s="175"/>
      <c r="X25" s="175"/>
      <c r="Y25" s="175"/>
      <c r="Z25" s="175"/>
      <c r="AA25" s="175"/>
    </row>
    <row r="26" spans="2:27" x14ac:dyDescent="0.15">
      <c r="B26" s="117">
        <v>3</v>
      </c>
      <c r="C26" s="118" t="s">
        <v>140</v>
      </c>
      <c r="D26" s="119">
        <f>IF(Site_Delivery_Systems="Y",0,IF('System Typical BOM Translator'!$E64&gt;0,'System Typical BOM Translator'!$E64*VLOOKUP('System Typicals @ Industry Std'!$B26,Systems_National_Industry_Standards,9),0))</f>
        <v>0</v>
      </c>
      <c r="E26" s="119">
        <f>IF(Site_Delivery_Systems="Y",0,IF('System Typical BOM Translator'!$E64&gt;0,'System Typical BOM Translator'!$E64*VLOOKUP('System Typicals @ Industry Std'!$B26,Systems_National_Industry_Standards,10),0))</f>
        <v>0</v>
      </c>
      <c r="F26" s="119">
        <f>IF('System Typical BOM Translator'!$E64&gt;0,'System Typical BOM Translator'!$E64*VLOOKUP('System Typicals @ Industry Std'!$B26,Systems_National_Industry_Standards,12),0)</f>
        <v>0</v>
      </c>
      <c r="G26" s="119">
        <f>IF('System Typical BOM Translator'!$E64&gt;0,'System Typical BOM Translator'!$E64*VLOOKUP('System Typicals @ Industry Std'!$B26,Systems_National_Industry_Standards,13),0)</f>
        <v>0</v>
      </c>
      <c r="H26" s="119">
        <f>IF('System Typical BOM Translator'!$E64&gt;0,'System Typical BOM Translator'!$E64*VLOOKUP('System Typicals @ Industry Std'!$B26,Systems_National_Industry_Standards,15),0)</f>
        <v>0</v>
      </c>
      <c r="I26" s="119">
        <f>IF('System Typical BOM Translator'!$E64&gt;0,'System Typical BOM Translator'!$E64*VLOOKUP('System Typicals @ Industry Std'!$B26,Systems_National_Industry_Standards,16),0)</f>
        <v>0</v>
      </c>
      <c r="J26" s="119">
        <f>IF('System Typical BOM Translator'!$E64&gt;0,'System Typical BOM Translator'!$E64*VLOOKUP('System Typicals @ Industry Std'!$B26,Systems_National_Industry_Standards,8),0)</f>
        <v>0</v>
      </c>
      <c r="K26" s="119">
        <f>IF('System Typical BOM Translator'!$E64&gt;0,'System Typical BOM Translator'!$E64*VLOOKUP('System Typicals @ Industry Std'!$B26,Systems_National_Industry_Standards,7),0)</f>
        <v>0</v>
      </c>
      <c r="L26" s="122"/>
      <c r="M26" s="119">
        <f t="shared" si="7"/>
        <v>0</v>
      </c>
      <c r="N26" s="119">
        <f t="shared" si="8"/>
        <v>0</v>
      </c>
      <c r="O26" s="119">
        <f t="shared" si="9"/>
        <v>0</v>
      </c>
      <c r="P26" s="119">
        <f t="shared" si="10"/>
        <v>0</v>
      </c>
      <c r="Q26" s="119">
        <f t="shared" si="11"/>
        <v>0</v>
      </c>
      <c r="R26" s="119">
        <f t="shared" si="12"/>
        <v>0</v>
      </c>
      <c r="S26" s="121">
        <f t="shared" si="13"/>
        <v>0</v>
      </c>
      <c r="T26" s="121">
        <f t="shared" si="14"/>
        <v>0</v>
      </c>
      <c r="U26" s="122"/>
      <c r="V26" s="175"/>
      <c r="W26" s="175"/>
      <c r="X26" s="175"/>
      <c r="Y26" s="175"/>
      <c r="Z26" s="175"/>
      <c r="AA26" s="175"/>
    </row>
    <row r="27" spans="2:27" x14ac:dyDescent="0.15">
      <c r="B27" s="117">
        <v>4</v>
      </c>
      <c r="C27" s="123" t="s">
        <v>168</v>
      </c>
      <c r="D27" s="119">
        <f>IF(Site_Delivery_Systems="Y",0,IF('System Typical BOM Translator'!$E65&gt;0,'System Typical BOM Translator'!$E65*VLOOKUP('System Typicals @ Industry Std'!$B27,Systems_National_Industry_Standards,9),0))</f>
        <v>0</v>
      </c>
      <c r="E27" s="119">
        <f>IF(Site_Delivery_Systems="Y",0,IF('System Typical BOM Translator'!$E65&gt;0,'System Typical BOM Translator'!$E65*VLOOKUP('System Typicals @ Industry Std'!$B27,Systems_National_Industry_Standards,10),0))</f>
        <v>0</v>
      </c>
      <c r="F27" s="119">
        <f>IF('System Typical BOM Translator'!$E65&gt;0,'System Typical BOM Translator'!$E65*VLOOKUP('System Typicals @ Industry Std'!$B27,Systems_National_Industry_Standards,12),0)</f>
        <v>0</v>
      </c>
      <c r="G27" s="119">
        <f>IF('System Typical BOM Translator'!$E65&gt;0,'System Typical BOM Translator'!$E65*VLOOKUP('System Typicals @ Industry Std'!$B27,Systems_National_Industry_Standards,13),0)</f>
        <v>0</v>
      </c>
      <c r="H27" s="119">
        <f>IF('System Typical BOM Translator'!$E65&gt;0,'System Typical BOM Translator'!$E65*VLOOKUP('System Typicals @ Industry Std'!$B27,Systems_National_Industry_Standards,15),0)</f>
        <v>0</v>
      </c>
      <c r="I27" s="119">
        <f>IF('System Typical BOM Translator'!$E65&gt;0,'System Typical BOM Translator'!$E65*VLOOKUP('System Typicals @ Industry Std'!$B27,Systems_National_Industry_Standards,16),0)</f>
        <v>0</v>
      </c>
      <c r="J27" s="119">
        <f>IF('System Typical BOM Translator'!$E65&gt;0,'System Typical BOM Translator'!$E65*VLOOKUP('System Typicals @ Industry Std'!$B27,Systems_National_Industry_Standards,8),0)</f>
        <v>0</v>
      </c>
      <c r="K27" s="119">
        <f>IF('System Typical BOM Translator'!$E65&gt;0,'System Typical BOM Translator'!$E65*VLOOKUP('System Typicals @ Industry Std'!$B27,Systems_National_Industry_Standards,7),0)</f>
        <v>0</v>
      </c>
      <c r="L27" s="122"/>
      <c r="M27" s="119">
        <f t="shared" si="7"/>
        <v>0</v>
      </c>
      <c r="N27" s="119">
        <f t="shared" si="8"/>
        <v>0</v>
      </c>
      <c r="O27" s="119">
        <f t="shared" si="9"/>
        <v>0</v>
      </c>
      <c r="P27" s="119">
        <f t="shared" si="10"/>
        <v>0</v>
      </c>
      <c r="Q27" s="119">
        <f t="shared" si="11"/>
        <v>0</v>
      </c>
      <c r="R27" s="119">
        <f t="shared" si="12"/>
        <v>0</v>
      </c>
      <c r="S27" s="121">
        <f t="shared" si="13"/>
        <v>0</v>
      </c>
      <c r="T27" s="121">
        <f t="shared" si="14"/>
        <v>0</v>
      </c>
      <c r="U27" s="122"/>
      <c r="V27" s="175"/>
      <c r="W27" s="175"/>
      <c r="X27" s="175"/>
      <c r="Y27" s="175"/>
      <c r="Z27" s="175"/>
      <c r="AA27" s="175"/>
    </row>
    <row r="28" spans="2:27" x14ac:dyDescent="0.15">
      <c r="B28" s="117">
        <v>5</v>
      </c>
      <c r="C28" s="124" t="s">
        <v>167</v>
      </c>
      <c r="D28" s="119">
        <f>IF(Site_Delivery_Systems="Y",0,IF('System Typical BOM Translator'!$E66&gt;0,'System Typical BOM Translator'!$E66*VLOOKUP('System Typicals @ Industry Std'!$B28,Systems_National_Industry_Standards,9),0))</f>
        <v>0</v>
      </c>
      <c r="E28" s="119">
        <f>IF(Site_Delivery_Systems="Y",0,IF('System Typical BOM Translator'!$E66&gt;0,'System Typical BOM Translator'!$E66*VLOOKUP('System Typicals @ Industry Std'!$B28,Systems_National_Industry_Standards,10),0))</f>
        <v>0</v>
      </c>
      <c r="F28" s="119">
        <f>IF('System Typical BOM Translator'!$E66&gt;0,'System Typical BOM Translator'!$E66*VLOOKUP('System Typicals @ Industry Std'!$B28,Systems_National_Industry_Standards,12),0)</f>
        <v>0</v>
      </c>
      <c r="G28" s="119">
        <f>IF('System Typical BOM Translator'!$E66&gt;0,'System Typical BOM Translator'!$E66*VLOOKUP('System Typicals @ Industry Std'!$B28,Systems_National_Industry_Standards,13),0)</f>
        <v>0</v>
      </c>
      <c r="H28" s="119">
        <f>IF('System Typical BOM Translator'!$E66&gt;0,'System Typical BOM Translator'!$E66*VLOOKUP('System Typicals @ Industry Std'!$B28,Systems_National_Industry_Standards,15),0)</f>
        <v>0</v>
      </c>
      <c r="I28" s="119">
        <f>IF('System Typical BOM Translator'!$E66&gt;0,'System Typical BOM Translator'!$E66*VLOOKUP('System Typicals @ Industry Std'!$B28,Systems_National_Industry_Standards,16),0)</f>
        <v>0</v>
      </c>
      <c r="J28" s="119">
        <f>IF('System Typical BOM Translator'!$E66&gt;0,'System Typical BOM Translator'!$E66*VLOOKUP('System Typicals @ Industry Std'!$B28,Systems_National_Industry_Standards,8),0)</f>
        <v>0</v>
      </c>
      <c r="K28" s="119">
        <f>IF('System Typical BOM Translator'!$E66&gt;0,'System Typical BOM Translator'!$E66*VLOOKUP('System Typicals @ Industry Std'!$B28,Systems_National_Industry_Standards,7),0)</f>
        <v>0</v>
      </c>
      <c r="L28" s="122"/>
      <c r="M28" s="119">
        <f t="shared" si="7"/>
        <v>0</v>
      </c>
      <c r="N28" s="119">
        <f t="shared" si="8"/>
        <v>0</v>
      </c>
      <c r="O28" s="119">
        <f t="shared" si="9"/>
        <v>0</v>
      </c>
      <c r="P28" s="119">
        <f t="shared" si="10"/>
        <v>0</v>
      </c>
      <c r="Q28" s="119">
        <f t="shared" si="11"/>
        <v>0</v>
      </c>
      <c r="R28" s="119">
        <f t="shared" si="12"/>
        <v>0</v>
      </c>
      <c r="S28" s="121">
        <f t="shared" si="13"/>
        <v>0</v>
      </c>
      <c r="T28" s="121">
        <f t="shared" si="14"/>
        <v>0</v>
      </c>
      <c r="U28" s="122"/>
      <c r="V28" s="175"/>
      <c r="W28" s="175"/>
      <c r="X28" s="175"/>
      <c r="Y28" s="175"/>
      <c r="Z28" s="175"/>
      <c r="AA28" s="175"/>
    </row>
    <row r="29" spans="2:27" x14ac:dyDescent="0.15">
      <c r="B29" s="117">
        <v>6</v>
      </c>
      <c r="C29" s="124" t="s">
        <v>164</v>
      </c>
      <c r="D29" s="119">
        <f>IF(Site_Delivery_Systems="Y",0,IF('System Typical BOM Translator'!$E67&gt;0,'System Typical BOM Translator'!$E67*VLOOKUP('System Typicals @ Industry Std'!$B29,Systems_National_Industry_Standards,9),0))</f>
        <v>0</v>
      </c>
      <c r="E29" s="119">
        <f>IF(Site_Delivery_Systems="Y",0,IF('System Typical BOM Translator'!$E67&gt;0,'System Typical BOM Translator'!$E67*VLOOKUP('System Typicals @ Industry Std'!$B29,Systems_National_Industry_Standards,10),0))</f>
        <v>0</v>
      </c>
      <c r="F29" s="119">
        <f>IF('System Typical BOM Translator'!$E67&gt;0,'System Typical BOM Translator'!$E67*VLOOKUP('System Typicals @ Industry Std'!$B29,Systems_National_Industry_Standards,12),0)</f>
        <v>0</v>
      </c>
      <c r="G29" s="119">
        <f>IF('System Typical BOM Translator'!$E67&gt;0,'System Typical BOM Translator'!$E67*VLOOKUP('System Typicals @ Industry Std'!$B29,Systems_National_Industry_Standards,13),0)</f>
        <v>0</v>
      </c>
      <c r="H29" s="119">
        <f>IF('System Typical BOM Translator'!$E67&gt;0,'System Typical BOM Translator'!$E67*VLOOKUP('System Typicals @ Industry Std'!$B29,Systems_National_Industry_Standards,15),0)</f>
        <v>0</v>
      </c>
      <c r="I29" s="119">
        <f>IF('System Typical BOM Translator'!$E67&gt;0,'System Typical BOM Translator'!$E67*VLOOKUP('System Typicals @ Industry Std'!$B29,Systems_National_Industry_Standards,16),0)</f>
        <v>0</v>
      </c>
      <c r="J29" s="119">
        <f>IF('System Typical BOM Translator'!$E67&gt;0,'System Typical BOM Translator'!$E67*VLOOKUP('System Typicals @ Industry Std'!$B29,Systems_National_Industry_Standards,8),0)</f>
        <v>0</v>
      </c>
      <c r="K29" s="119">
        <f>IF('System Typical BOM Translator'!$E67&gt;0,'System Typical BOM Translator'!$E67*VLOOKUP('System Typicals @ Industry Std'!$B29,Systems_National_Industry_Standards,7),0)</f>
        <v>0</v>
      </c>
      <c r="L29" s="122"/>
      <c r="M29" s="119">
        <f t="shared" si="7"/>
        <v>0</v>
      </c>
      <c r="N29" s="119">
        <f t="shared" si="8"/>
        <v>0</v>
      </c>
      <c r="O29" s="119">
        <f t="shared" si="9"/>
        <v>0</v>
      </c>
      <c r="P29" s="119">
        <f t="shared" si="10"/>
        <v>0</v>
      </c>
      <c r="Q29" s="119">
        <f t="shared" si="11"/>
        <v>0</v>
      </c>
      <c r="R29" s="119">
        <f t="shared" si="12"/>
        <v>0</v>
      </c>
      <c r="S29" s="121">
        <f t="shared" si="13"/>
        <v>0</v>
      </c>
      <c r="T29" s="121">
        <f t="shared" si="14"/>
        <v>0</v>
      </c>
      <c r="U29" s="122"/>
      <c r="V29" s="175"/>
      <c r="W29" s="175"/>
      <c r="X29" s="175"/>
      <c r="Y29" s="175"/>
      <c r="Z29" s="175"/>
      <c r="AA29" s="175"/>
    </row>
    <row r="30" spans="2:27" x14ac:dyDescent="0.15">
      <c r="B30" s="117">
        <v>7</v>
      </c>
      <c r="C30" s="124" t="s">
        <v>94</v>
      </c>
      <c r="D30" s="119">
        <f>IF(Site_Delivery_Systems="Y",0,IF('System Typical BOM Translator'!$E68&gt;0,'System Typical BOM Translator'!$E68*VLOOKUP('System Typicals @ Industry Std'!$B30,Systems_National_Industry_Standards,9),0))</f>
        <v>0</v>
      </c>
      <c r="E30" s="119">
        <f>IF(Site_Delivery_Systems="Y",0,IF('System Typical BOM Translator'!$E68&gt;0,'System Typical BOM Translator'!$E68*VLOOKUP('System Typicals @ Industry Std'!$B30,Systems_National_Industry_Standards,10),0))</f>
        <v>0</v>
      </c>
      <c r="F30" s="119">
        <f>IF('System Typical BOM Translator'!$E68&gt;0,'System Typical BOM Translator'!$E68*VLOOKUP('System Typicals @ Industry Std'!$B30,Systems_National_Industry_Standards,12),0)</f>
        <v>0</v>
      </c>
      <c r="G30" s="119">
        <f>IF('System Typical BOM Translator'!$E68&gt;0,'System Typical BOM Translator'!$E68*VLOOKUP('System Typicals @ Industry Std'!$B30,Systems_National_Industry_Standards,13),0)</f>
        <v>0</v>
      </c>
      <c r="H30" s="119">
        <f>IF('System Typical BOM Translator'!$E68&gt;0,'System Typical BOM Translator'!$E68*VLOOKUP('System Typicals @ Industry Std'!$B30,Systems_National_Industry_Standards,15),0)</f>
        <v>0</v>
      </c>
      <c r="I30" s="119">
        <f>IF('System Typical BOM Translator'!$E68&gt;0,'System Typical BOM Translator'!$E68*VLOOKUP('System Typicals @ Industry Std'!$B30,Systems_National_Industry_Standards,16),0)</f>
        <v>0</v>
      </c>
      <c r="J30" s="119">
        <f>IF('System Typical BOM Translator'!$E68&gt;0,'System Typical BOM Translator'!$E68*VLOOKUP('System Typicals @ Industry Std'!$B30,Systems_National_Industry_Standards,8),0)</f>
        <v>0</v>
      </c>
      <c r="K30" s="119">
        <f>IF('System Typical BOM Translator'!$E68&gt;0,'System Typical BOM Translator'!$E68*VLOOKUP('System Typicals @ Industry Std'!$B30,Systems_National_Industry_Standards,7),0)</f>
        <v>0</v>
      </c>
      <c r="L30" s="122"/>
      <c r="M30" s="119">
        <f t="shared" si="7"/>
        <v>0</v>
      </c>
      <c r="N30" s="119">
        <f t="shared" si="8"/>
        <v>0</v>
      </c>
      <c r="O30" s="119">
        <f t="shared" si="9"/>
        <v>0</v>
      </c>
      <c r="P30" s="119">
        <f t="shared" si="10"/>
        <v>0</v>
      </c>
      <c r="Q30" s="119">
        <f t="shared" si="11"/>
        <v>0</v>
      </c>
      <c r="R30" s="119">
        <f t="shared" si="12"/>
        <v>0</v>
      </c>
      <c r="S30" s="121">
        <f t="shared" si="13"/>
        <v>0</v>
      </c>
      <c r="T30" s="121">
        <f t="shared" si="14"/>
        <v>0</v>
      </c>
      <c r="U30" s="122"/>
      <c r="V30" s="175"/>
      <c r="W30" s="175"/>
      <c r="X30" s="175"/>
      <c r="Y30" s="175"/>
      <c r="Z30" s="175"/>
      <c r="AA30" s="175"/>
    </row>
    <row r="31" spans="2:27" x14ac:dyDescent="0.15">
      <c r="B31" s="117">
        <v>8</v>
      </c>
      <c r="C31" s="124" t="s">
        <v>95</v>
      </c>
      <c r="D31" s="119">
        <f>IF(Site_Delivery_Systems="Y",0,IF('System Typical BOM Translator'!$E69&gt;0,'System Typical BOM Translator'!$E69*VLOOKUP('System Typicals @ Industry Std'!$B31,Systems_National_Industry_Standards,9),0))</f>
        <v>0</v>
      </c>
      <c r="E31" s="119">
        <f>IF(Site_Delivery_Systems="Y",0,IF('System Typical BOM Translator'!$E69&gt;0,'System Typical BOM Translator'!$E69*VLOOKUP('System Typicals @ Industry Std'!$B31,Systems_National_Industry_Standards,10),0))</f>
        <v>0</v>
      </c>
      <c r="F31" s="119">
        <f>IF('System Typical BOM Translator'!$E69&gt;0,'System Typical BOM Translator'!$E69*VLOOKUP('System Typicals @ Industry Std'!$B31,Systems_National_Industry_Standards,12),0)</f>
        <v>0</v>
      </c>
      <c r="G31" s="119">
        <f>IF('System Typical BOM Translator'!$E69&gt;0,'System Typical BOM Translator'!$E69*VLOOKUP('System Typicals @ Industry Std'!$B31,Systems_National_Industry_Standards,13),0)</f>
        <v>0</v>
      </c>
      <c r="H31" s="119">
        <f>IF('System Typical BOM Translator'!$E69&gt;0,'System Typical BOM Translator'!$E69*VLOOKUP('System Typicals @ Industry Std'!$B31,Systems_National_Industry_Standards,15),0)</f>
        <v>0</v>
      </c>
      <c r="I31" s="119">
        <f>IF('System Typical BOM Translator'!$E69&gt;0,'System Typical BOM Translator'!$E69*VLOOKUP('System Typicals @ Industry Std'!$B31,Systems_National_Industry_Standards,16),0)</f>
        <v>0</v>
      </c>
      <c r="J31" s="119">
        <f>IF('System Typical BOM Translator'!$E69&gt;0,'System Typical BOM Translator'!$E69*VLOOKUP('System Typicals @ Industry Std'!$B31,Systems_National_Industry_Standards,8),0)</f>
        <v>0</v>
      </c>
      <c r="K31" s="119">
        <f>IF('System Typical BOM Translator'!$E69&gt;0,'System Typical BOM Translator'!$E69*VLOOKUP('System Typicals @ Industry Std'!$B31,Systems_National_Industry_Standards,7),0)</f>
        <v>0</v>
      </c>
      <c r="L31" s="117"/>
      <c r="M31" s="119">
        <f t="shared" si="7"/>
        <v>0</v>
      </c>
      <c r="N31" s="119">
        <f t="shared" si="8"/>
        <v>0</v>
      </c>
      <c r="O31" s="119">
        <f t="shared" si="9"/>
        <v>0</v>
      </c>
      <c r="P31" s="119">
        <f t="shared" si="10"/>
        <v>0</v>
      </c>
      <c r="Q31" s="119">
        <f t="shared" si="11"/>
        <v>0</v>
      </c>
      <c r="R31" s="119">
        <f t="shared" si="12"/>
        <v>0</v>
      </c>
      <c r="S31" s="121">
        <f t="shared" si="13"/>
        <v>0</v>
      </c>
      <c r="T31" s="121">
        <f t="shared" si="14"/>
        <v>0</v>
      </c>
      <c r="U31" s="117"/>
      <c r="V31" s="175"/>
      <c r="W31" s="175"/>
      <c r="X31" s="175"/>
      <c r="Y31" s="175"/>
      <c r="Z31" s="175"/>
      <c r="AA31" s="175"/>
    </row>
    <row r="32" spans="2:27" x14ac:dyDescent="0.15">
      <c r="B32" s="117">
        <v>9</v>
      </c>
      <c r="C32" s="124" t="s">
        <v>142</v>
      </c>
      <c r="D32" s="119">
        <f>IF(Site_Delivery_Systems="Y",0,IF('System Typical BOM Translator'!$E70&gt;0,'System Typical BOM Translator'!$E70*VLOOKUP('System Typicals @ Industry Std'!$B32,Systems_National_Industry_Standards,9),0))</f>
        <v>0</v>
      </c>
      <c r="E32" s="119">
        <f>IF(Site_Delivery_Systems="Y",0,IF('System Typical BOM Translator'!$E70&gt;0,'System Typical BOM Translator'!$E70*VLOOKUP('System Typicals @ Industry Std'!$B32,Systems_National_Industry_Standards,10),0))</f>
        <v>0</v>
      </c>
      <c r="F32" s="119">
        <f>IF('System Typical BOM Translator'!$E70&gt;0,'System Typical BOM Translator'!$E70*VLOOKUP('System Typicals @ Industry Std'!$B32,Systems_National_Industry_Standards,12),0)</f>
        <v>0</v>
      </c>
      <c r="G32" s="119">
        <f>IF('System Typical BOM Translator'!$E70&gt;0,'System Typical BOM Translator'!$E70*VLOOKUP('System Typicals @ Industry Std'!$B32,Systems_National_Industry_Standards,13),0)</f>
        <v>0</v>
      </c>
      <c r="H32" s="119">
        <f>IF('System Typical BOM Translator'!$E70&gt;0,'System Typical BOM Translator'!$E70*VLOOKUP('System Typicals @ Industry Std'!$B32,Systems_National_Industry_Standards,15),0)</f>
        <v>0</v>
      </c>
      <c r="I32" s="119">
        <f>IF('System Typical BOM Translator'!$E70&gt;0,'System Typical BOM Translator'!$E70*VLOOKUP('System Typicals @ Industry Std'!$B32,Systems_National_Industry_Standards,16),0)</f>
        <v>0</v>
      </c>
      <c r="J32" s="119">
        <f>IF('System Typical BOM Translator'!$E70&gt;0,'System Typical BOM Translator'!$E70*VLOOKUP('System Typicals @ Industry Std'!$B32,Systems_National_Industry_Standards,8),0)</f>
        <v>0</v>
      </c>
      <c r="K32" s="119">
        <f>IF('System Typical BOM Translator'!$E70&gt;0,'System Typical BOM Translator'!$E70*VLOOKUP('System Typicals @ Industry Std'!$B32,Systems_National_Industry_Standards,7),0)</f>
        <v>0</v>
      </c>
      <c r="L32" s="117"/>
      <c r="M32" s="119">
        <f t="shared" si="7"/>
        <v>0</v>
      </c>
      <c r="N32" s="119">
        <f t="shared" si="8"/>
        <v>0</v>
      </c>
      <c r="O32" s="119">
        <f t="shared" si="9"/>
        <v>0</v>
      </c>
      <c r="P32" s="119">
        <f t="shared" si="10"/>
        <v>0</v>
      </c>
      <c r="Q32" s="119">
        <f t="shared" si="11"/>
        <v>0</v>
      </c>
      <c r="R32" s="119">
        <f t="shared" si="12"/>
        <v>0</v>
      </c>
      <c r="S32" s="121">
        <f t="shared" si="13"/>
        <v>0</v>
      </c>
      <c r="T32" s="121">
        <f t="shared" si="14"/>
        <v>0</v>
      </c>
      <c r="U32" s="117"/>
      <c r="V32" s="175"/>
      <c r="W32" s="175"/>
      <c r="X32" s="175"/>
      <c r="Y32" s="175"/>
      <c r="Z32" s="175"/>
      <c r="AA32" s="175"/>
    </row>
    <row r="33" spans="2:27" x14ac:dyDescent="0.15">
      <c r="B33" s="117">
        <v>10</v>
      </c>
      <c r="C33" s="124" t="s">
        <v>138</v>
      </c>
      <c r="D33" s="119">
        <f>IF(Site_Delivery_Systems="Y",0,IF('System Typical BOM Translator'!$E71&gt;0,'System Typical BOM Translator'!$E71*VLOOKUP('System Typicals @ Industry Std'!$B33,Systems_National_Industry_Standards,9),0))</f>
        <v>0</v>
      </c>
      <c r="E33" s="119">
        <f>IF(Site_Delivery_Systems="Y",0,IF('System Typical BOM Translator'!$E71&gt;0,'System Typical BOM Translator'!$E71*VLOOKUP('System Typicals @ Industry Std'!$B33,Systems_National_Industry_Standards,10),0))</f>
        <v>0</v>
      </c>
      <c r="F33" s="119">
        <f>IF('System Typical BOM Translator'!$E71&gt;0,'System Typical BOM Translator'!$E71*VLOOKUP('System Typicals @ Industry Std'!$B33,Systems_National_Industry_Standards,12),0)</f>
        <v>0</v>
      </c>
      <c r="G33" s="119">
        <f>IF('System Typical BOM Translator'!$E71&gt;0,'System Typical BOM Translator'!$E71*VLOOKUP('System Typicals @ Industry Std'!$B33,Systems_National_Industry_Standards,13),0)</f>
        <v>0</v>
      </c>
      <c r="H33" s="119">
        <f>IF('System Typical BOM Translator'!$E71&gt;0,'System Typical BOM Translator'!$E71*VLOOKUP('System Typicals @ Industry Std'!$B33,Systems_National_Industry_Standards,15),0)</f>
        <v>0</v>
      </c>
      <c r="I33" s="119">
        <f>IF('System Typical BOM Translator'!$E71&gt;0,'System Typical BOM Translator'!$E71*VLOOKUP('System Typicals @ Industry Std'!$B33,Systems_National_Industry_Standards,16),0)</f>
        <v>0</v>
      </c>
      <c r="J33" s="119">
        <f>IF('System Typical BOM Translator'!$E71&gt;0,'System Typical BOM Translator'!$E71*VLOOKUP('System Typicals @ Industry Std'!$B33,Systems_National_Industry_Standards,8),0)</f>
        <v>0</v>
      </c>
      <c r="K33" s="119">
        <f>IF('System Typical BOM Translator'!$E71&gt;0,'System Typical BOM Translator'!$E71*VLOOKUP('System Typicals @ Industry Std'!$B33,Systems_National_Industry_Standards,7),0)</f>
        <v>0</v>
      </c>
      <c r="L33" s="117"/>
      <c r="M33" s="119">
        <f t="shared" si="7"/>
        <v>0</v>
      </c>
      <c r="N33" s="119">
        <f t="shared" si="8"/>
        <v>0</v>
      </c>
      <c r="O33" s="119">
        <f t="shared" si="9"/>
        <v>0</v>
      </c>
      <c r="P33" s="119">
        <f t="shared" si="10"/>
        <v>0</v>
      </c>
      <c r="Q33" s="119">
        <f t="shared" si="11"/>
        <v>0</v>
      </c>
      <c r="R33" s="119">
        <f t="shared" si="12"/>
        <v>0</v>
      </c>
      <c r="S33" s="121">
        <f t="shared" si="13"/>
        <v>0</v>
      </c>
      <c r="T33" s="121">
        <f t="shared" si="14"/>
        <v>0</v>
      </c>
      <c r="U33" s="117"/>
      <c r="V33" s="175"/>
      <c r="W33" s="175"/>
      <c r="X33" s="175"/>
      <c r="Y33" s="175"/>
      <c r="Z33" s="175"/>
      <c r="AA33" s="175"/>
    </row>
    <row r="34" spans="2:27" x14ac:dyDescent="0.15">
      <c r="B34" s="117">
        <v>11</v>
      </c>
      <c r="C34" s="124" t="s">
        <v>141</v>
      </c>
      <c r="D34" s="119">
        <f>IF(Site_Delivery_Systems="Y",0,IF('System Typical BOM Translator'!$E72&gt;0,'System Typical BOM Translator'!$E72*VLOOKUP('System Typicals @ Industry Std'!$B34,Systems_National_Industry_Standards,9),0))</f>
        <v>0</v>
      </c>
      <c r="E34" s="119">
        <f>IF(Site_Delivery_Systems="Y",0,IF('System Typical BOM Translator'!$E72&gt;0,'System Typical BOM Translator'!$E72*VLOOKUP('System Typicals @ Industry Std'!$B34,Systems_National_Industry_Standards,10),0))</f>
        <v>0</v>
      </c>
      <c r="F34" s="119">
        <f>IF('System Typical BOM Translator'!$E72&gt;0,'System Typical BOM Translator'!$E72*VLOOKUP('System Typicals @ Industry Std'!$B34,Systems_National_Industry_Standards,12),0)</f>
        <v>0</v>
      </c>
      <c r="G34" s="119">
        <f>IF('System Typical BOM Translator'!$E72&gt;0,'System Typical BOM Translator'!$E72*VLOOKUP('System Typicals @ Industry Std'!$B34,Systems_National_Industry_Standards,13),0)</f>
        <v>0</v>
      </c>
      <c r="H34" s="119">
        <f>IF('System Typical BOM Translator'!$E72&gt;0,'System Typical BOM Translator'!$E72*VLOOKUP('System Typicals @ Industry Std'!$B34,Systems_National_Industry_Standards,15),0)</f>
        <v>0</v>
      </c>
      <c r="I34" s="119">
        <f>IF('System Typical BOM Translator'!$E72&gt;0,'System Typical BOM Translator'!$E72*VLOOKUP('System Typicals @ Industry Std'!$B34,Systems_National_Industry_Standards,16),0)</f>
        <v>0</v>
      </c>
      <c r="J34" s="119">
        <f>IF('System Typical BOM Translator'!$E72&gt;0,'System Typical BOM Translator'!$E72*VLOOKUP('System Typicals @ Industry Std'!$B34,Systems_National_Industry_Standards,8),0)</f>
        <v>0</v>
      </c>
      <c r="K34" s="119">
        <f>IF('System Typical BOM Translator'!$E72&gt;0,'System Typical BOM Translator'!$E72*VLOOKUP('System Typicals @ Industry Std'!$B34,Systems_National_Industry_Standards,7),0)</f>
        <v>0</v>
      </c>
      <c r="L34" s="117"/>
      <c r="M34" s="119">
        <f t="shared" si="7"/>
        <v>0</v>
      </c>
      <c r="N34" s="119">
        <f t="shared" si="8"/>
        <v>0</v>
      </c>
      <c r="O34" s="119">
        <f t="shared" si="9"/>
        <v>0</v>
      </c>
      <c r="P34" s="119">
        <f t="shared" si="10"/>
        <v>0</v>
      </c>
      <c r="Q34" s="119">
        <f t="shared" si="11"/>
        <v>0</v>
      </c>
      <c r="R34" s="119">
        <f t="shared" si="12"/>
        <v>0</v>
      </c>
      <c r="S34" s="121">
        <f t="shared" si="13"/>
        <v>0</v>
      </c>
      <c r="T34" s="121">
        <f t="shared" si="14"/>
        <v>0</v>
      </c>
      <c r="U34" s="117"/>
      <c r="V34" s="175"/>
      <c r="W34" s="175"/>
      <c r="X34" s="175"/>
      <c r="Y34" s="175"/>
      <c r="Z34" s="175"/>
      <c r="AA34" s="175"/>
    </row>
    <row r="35" spans="2:27" x14ac:dyDescent="0.15">
      <c r="B35" s="117">
        <v>12</v>
      </c>
      <c r="C35" s="124" t="s">
        <v>96</v>
      </c>
      <c r="D35" s="119">
        <f>IF(Site_Delivery_Systems="Y",0,IF('System Typical BOM Translator'!$E73&gt;0,'System Typical BOM Translator'!$E73*VLOOKUP('System Typicals @ Industry Std'!$B35,Systems_National_Industry_Standards,9),0))</f>
        <v>0</v>
      </c>
      <c r="E35" s="119">
        <f>IF(Site_Delivery_Systems="Y",0,IF('System Typical BOM Translator'!$E73&gt;0,'System Typical BOM Translator'!$E73*VLOOKUP('System Typicals @ Industry Std'!$B35,Systems_National_Industry_Standards,10),0))</f>
        <v>0</v>
      </c>
      <c r="F35" s="119">
        <f>IF('System Typical BOM Translator'!$E73&gt;0,'System Typical BOM Translator'!$E73*VLOOKUP('System Typicals @ Industry Std'!$B35,Systems_National_Industry_Standards,12),0)</f>
        <v>0</v>
      </c>
      <c r="G35" s="119">
        <f>IF('System Typical BOM Translator'!$E73&gt;0,'System Typical BOM Translator'!$E73*VLOOKUP('System Typicals @ Industry Std'!$B35,Systems_National_Industry_Standards,13),0)</f>
        <v>0</v>
      </c>
      <c r="H35" s="119">
        <f>IF('System Typical BOM Translator'!$E73&gt;0,'System Typical BOM Translator'!$E73*VLOOKUP('System Typicals @ Industry Std'!$B35,Systems_National_Industry_Standards,15),0)</f>
        <v>0</v>
      </c>
      <c r="I35" s="119">
        <f>IF('System Typical BOM Translator'!$E73&gt;0,'System Typical BOM Translator'!$E73*VLOOKUP('System Typicals @ Industry Std'!$B35,Systems_National_Industry_Standards,16),0)</f>
        <v>0</v>
      </c>
      <c r="J35" s="119">
        <f>IF('System Typical BOM Translator'!$E73&gt;0,'System Typical BOM Translator'!$E73*VLOOKUP('System Typicals @ Industry Std'!$B35,Systems_National_Industry_Standards,8),0)</f>
        <v>0</v>
      </c>
      <c r="K35" s="119">
        <f>IF('System Typical BOM Translator'!$E73&gt;0,'System Typical BOM Translator'!$E73*VLOOKUP('System Typicals @ Industry Std'!$B35,Systems_National_Industry_Standards,7),0)</f>
        <v>0</v>
      </c>
      <c r="L35" s="117"/>
      <c r="M35" s="119">
        <f t="shared" si="7"/>
        <v>0</v>
      </c>
      <c r="N35" s="119">
        <f t="shared" si="8"/>
        <v>0</v>
      </c>
      <c r="O35" s="119">
        <f t="shared" si="9"/>
        <v>0</v>
      </c>
      <c r="P35" s="119">
        <f t="shared" si="10"/>
        <v>0</v>
      </c>
      <c r="Q35" s="119">
        <f t="shared" si="11"/>
        <v>0</v>
      </c>
      <c r="R35" s="119">
        <f t="shared" si="12"/>
        <v>0</v>
      </c>
      <c r="S35" s="121">
        <f t="shared" si="13"/>
        <v>0</v>
      </c>
      <c r="T35" s="121">
        <f t="shared" si="14"/>
        <v>0</v>
      </c>
      <c r="U35" s="117"/>
      <c r="V35" s="175"/>
      <c r="W35" s="175"/>
      <c r="X35" s="175"/>
      <c r="Y35" s="175"/>
      <c r="Z35" s="175"/>
      <c r="AA35" s="175"/>
    </row>
    <row r="36" spans="2:27" x14ac:dyDescent="0.15">
      <c r="B36" s="117">
        <v>13</v>
      </c>
      <c r="C36" s="124" t="s">
        <v>97</v>
      </c>
      <c r="D36" s="119">
        <f>IF(Site_Delivery_Systems="Y",0,IF('System Typical BOM Translator'!$E74&gt;0,'System Typical BOM Translator'!$E74*VLOOKUP('System Typicals @ Industry Std'!$B36,Systems_National_Industry_Standards,9),0))</f>
        <v>0</v>
      </c>
      <c r="E36" s="119">
        <f>IF(Site_Delivery_Systems="Y",0,IF('System Typical BOM Translator'!$E74&gt;0,'System Typical BOM Translator'!$E74*VLOOKUP('System Typicals @ Industry Std'!$B36,Systems_National_Industry_Standards,10),0))</f>
        <v>0</v>
      </c>
      <c r="F36" s="119">
        <f>IF('System Typical BOM Translator'!$E74&gt;0,'System Typical BOM Translator'!$E74*VLOOKUP('System Typicals @ Industry Std'!$B36,Systems_National_Industry_Standards,12),0)</f>
        <v>0</v>
      </c>
      <c r="G36" s="119">
        <f>IF('System Typical BOM Translator'!$E74&gt;0,'System Typical BOM Translator'!$E74*VLOOKUP('System Typicals @ Industry Std'!$B36,Systems_National_Industry_Standards,13),0)</f>
        <v>0</v>
      </c>
      <c r="H36" s="119">
        <f>IF('System Typical BOM Translator'!$E74&gt;0,'System Typical BOM Translator'!$E74*VLOOKUP('System Typicals @ Industry Std'!$B36,Systems_National_Industry_Standards,15),0)</f>
        <v>0</v>
      </c>
      <c r="I36" s="119">
        <f>IF('System Typical BOM Translator'!$E74&gt;0,'System Typical BOM Translator'!$E74*VLOOKUP('System Typicals @ Industry Std'!$B36,Systems_National_Industry_Standards,16),0)</f>
        <v>0</v>
      </c>
      <c r="J36" s="119">
        <f>IF('System Typical BOM Translator'!$E74&gt;0,'System Typical BOM Translator'!$E74*VLOOKUP('System Typicals @ Industry Std'!$B36,Systems_National_Industry_Standards,8),0)</f>
        <v>0</v>
      </c>
      <c r="K36" s="119">
        <f>IF('System Typical BOM Translator'!$E74&gt;0,'System Typical BOM Translator'!$E74*VLOOKUP('System Typicals @ Industry Std'!$B36,Systems_National_Industry_Standards,7),0)</f>
        <v>0</v>
      </c>
      <c r="L36" s="117"/>
      <c r="M36" s="119">
        <f t="shared" si="7"/>
        <v>0</v>
      </c>
      <c r="N36" s="119">
        <f t="shared" si="8"/>
        <v>0</v>
      </c>
      <c r="O36" s="119">
        <f t="shared" si="9"/>
        <v>0</v>
      </c>
      <c r="P36" s="119">
        <f t="shared" si="10"/>
        <v>0</v>
      </c>
      <c r="Q36" s="119">
        <f t="shared" si="11"/>
        <v>0</v>
      </c>
      <c r="R36" s="119">
        <f t="shared" si="12"/>
        <v>0</v>
      </c>
      <c r="S36" s="121">
        <f t="shared" si="13"/>
        <v>0</v>
      </c>
      <c r="T36" s="121">
        <f t="shared" si="14"/>
        <v>0</v>
      </c>
      <c r="U36" s="117"/>
      <c r="V36" s="175"/>
      <c r="W36" s="175"/>
      <c r="X36" s="175"/>
      <c r="Y36" s="175"/>
      <c r="Z36" s="175"/>
      <c r="AA36" s="175"/>
    </row>
    <row r="37" spans="2:27" x14ac:dyDescent="0.15">
      <c r="B37" s="117">
        <v>14</v>
      </c>
      <c r="C37" s="124" t="s">
        <v>102</v>
      </c>
      <c r="D37" s="119">
        <f>IF(Site_Delivery_Systems="Y",0,IF('System Typical BOM Translator'!$E75&gt;0,'System Typical BOM Translator'!$E75*VLOOKUP('System Typicals @ Industry Std'!$B37,Systems_National_Industry_Standards,9),0))</f>
        <v>0</v>
      </c>
      <c r="E37" s="119">
        <f>IF(Site_Delivery_Systems="Y",0,IF('System Typical BOM Translator'!$E75&gt;0,'System Typical BOM Translator'!$E75*VLOOKUP('System Typicals @ Industry Std'!$B37,Systems_National_Industry_Standards,10),0))</f>
        <v>0</v>
      </c>
      <c r="F37" s="119">
        <f>IF('System Typical BOM Translator'!$E75&gt;0,'System Typical BOM Translator'!$E75*VLOOKUP('System Typicals @ Industry Std'!$B37,Systems_National_Industry_Standards,12),0)</f>
        <v>0</v>
      </c>
      <c r="G37" s="119">
        <f>IF('System Typical BOM Translator'!$E75&gt;0,'System Typical BOM Translator'!$E75*VLOOKUP('System Typicals @ Industry Std'!$B37,Systems_National_Industry_Standards,13),0)</f>
        <v>0</v>
      </c>
      <c r="H37" s="119">
        <f>IF('System Typical BOM Translator'!$E75&gt;0,'System Typical BOM Translator'!$E75*VLOOKUP('System Typicals @ Industry Std'!$B37,Systems_National_Industry_Standards,15),0)</f>
        <v>0</v>
      </c>
      <c r="I37" s="119">
        <f>IF('System Typical BOM Translator'!$E75&gt;0,'System Typical BOM Translator'!$E75*VLOOKUP('System Typicals @ Industry Std'!$B37,Systems_National_Industry_Standards,16),0)</f>
        <v>0</v>
      </c>
      <c r="J37" s="119">
        <f>IF('System Typical BOM Translator'!$E75&gt;0,'System Typical BOM Translator'!$E75*VLOOKUP('System Typicals @ Industry Std'!$B37,Systems_National_Industry_Standards,8),0)</f>
        <v>0</v>
      </c>
      <c r="K37" s="119">
        <f>IF('System Typical BOM Translator'!$E75&gt;0,'System Typical BOM Translator'!$E75*VLOOKUP('System Typicals @ Industry Std'!$B37,Systems_National_Industry_Standards,7),0)</f>
        <v>0</v>
      </c>
      <c r="L37" s="117"/>
      <c r="M37" s="119">
        <f t="shared" si="7"/>
        <v>0</v>
      </c>
      <c r="N37" s="119">
        <f t="shared" si="8"/>
        <v>0</v>
      </c>
      <c r="O37" s="119">
        <f t="shared" si="9"/>
        <v>0</v>
      </c>
      <c r="P37" s="119">
        <f t="shared" si="10"/>
        <v>0</v>
      </c>
      <c r="Q37" s="119">
        <f t="shared" si="11"/>
        <v>0</v>
      </c>
      <c r="R37" s="119">
        <f t="shared" si="12"/>
        <v>0</v>
      </c>
      <c r="S37" s="121">
        <f t="shared" si="13"/>
        <v>0</v>
      </c>
      <c r="T37" s="121">
        <f t="shared" si="14"/>
        <v>0</v>
      </c>
      <c r="U37" s="117"/>
      <c r="V37" s="175"/>
      <c r="W37" s="175"/>
      <c r="X37" s="175"/>
      <c r="Y37" s="175"/>
      <c r="Z37" s="175"/>
      <c r="AA37" s="175"/>
    </row>
    <row r="38" spans="2:27" ht="14" thickBot="1" x14ac:dyDescent="0.2">
      <c r="C38" s="109" t="s">
        <v>107</v>
      </c>
      <c r="D38" s="125">
        <f t="shared" ref="D38:K38" si="15">SUM(D24:D37)</f>
        <v>0</v>
      </c>
      <c r="E38" s="125">
        <f t="shared" si="15"/>
        <v>0</v>
      </c>
      <c r="F38" s="125">
        <f t="shared" si="15"/>
        <v>0</v>
      </c>
      <c r="G38" s="125">
        <f t="shared" si="15"/>
        <v>0</v>
      </c>
      <c r="H38" s="125">
        <f t="shared" si="15"/>
        <v>0</v>
      </c>
      <c r="I38" s="125">
        <f t="shared" si="15"/>
        <v>0</v>
      </c>
      <c r="J38" s="125">
        <f t="shared" si="15"/>
        <v>0</v>
      </c>
      <c r="K38" s="125">
        <f t="shared" si="15"/>
        <v>0</v>
      </c>
      <c r="M38" s="125">
        <f t="shared" ref="M38:T38" si="16">SUM(M24:M37)</f>
        <v>0</v>
      </c>
      <c r="N38" s="125">
        <f t="shared" si="16"/>
        <v>0</v>
      </c>
      <c r="O38" s="125">
        <f t="shared" si="16"/>
        <v>0</v>
      </c>
      <c r="P38" s="125">
        <f t="shared" si="16"/>
        <v>0</v>
      </c>
      <c r="Q38" s="125">
        <f t="shared" si="16"/>
        <v>0</v>
      </c>
      <c r="R38" s="125">
        <f t="shared" si="16"/>
        <v>0</v>
      </c>
      <c r="S38" s="125">
        <f t="shared" si="16"/>
        <v>0</v>
      </c>
      <c r="T38" s="125">
        <f t="shared" si="16"/>
        <v>0</v>
      </c>
      <c r="U38" s="125">
        <f>T38/950</f>
        <v>0</v>
      </c>
      <c r="V38" s="190">
        <f>IF(Typical_2_Qty="",0,IF(Typical_2_Qty=0,0,SUM(M38:N38)/Typical_2_Qty))</f>
        <v>0</v>
      </c>
      <c r="W38" s="190">
        <f>IF(Typical_2_Qty="",0,IF(Typical_2_Qty=0,0,SUM(O38:P38)/Typical_2_Qty))</f>
        <v>0</v>
      </c>
      <c r="X38" s="190">
        <f>IF(Typical_2_Qty="",0,IF(Typical_2_Qty=0,0,SUM(Q38)/Typical_2_Qty))</f>
        <v>0</v>
      </c>
      <c r="Y38" s="190">
        <f>IF(Typical_2_Qty="",0,IF(Typical_2_Qty=0,0,SUM(R38)/Typical_2_Qty))</f>
        <v>0</v>
      </c>
      <c r="Z38" s="190">
        <f>SUM(W38:Y38)</f>
        <v>0</v>
      </c>
      <c r="AA38" s="190">
        <f>Z38+V38</f>
        <v>0</v>
      </c>
    </row>
    <row r="39" spans="2:27" ht="15" thickTop="1" thickBot="1" x14ac:dyDescent="0.2">
      <c r="O39" s="127"/>
      <c r="P39" s="127"/>
    </row>
    <row r="40" spans="2:27" ht="17" thickBot="1" x14ac:dyDescent="0.25">
      <c r="D40" s="581" t="s">
        <v>125</v>
      </c>
      <c r="E40" s="582"/>
      <c r="F40" s="582"/>
      <c r="G40" s="582"/>
      <c r="H40" s="582"/>
      <c r="I40" s="582"/>
      <c r="J40" s="582"/>
      <c r="K40" s="583"/>
      <c r="M40" s="581" t="s">
        <v>125</v>
      </c>
      <c r="N40" s="582"/>
      <c r="O40" s="582"/>
      <c r="P40" s="582"/>
      <c r="Q40" s="582"/>
      <c r="R40" s="582"/>
      <c r="S40" s="582"/>
      <c r="T40" s="583"/>
    </row>
    <row r="41" spans="2:27" ht="52" x14ac:dyDescent="0.15">
      <c r="C41" s="113" t="s">
        <v>88</v>
      </c>
      <c r="D41" s="114" t="s">
        <v>275</v>
      </c>
      <c r="E41" s="114" t="s">
        <v>276</v>
      </c>
      <c r="F41" s="114" t="s">
        <v>277</v>
      </c>
      <c r="G41" s="114" t="s">
        <v>278</v>
      </c>
      <c r="H41" s="114" t="s">
        <v>285</v>
      </c>
      <c r="I41" s="114" t="s">
        <v>286</v>
      </c>
      <c r="J41" s="114" t="s">
        <v>105</v>
      </c>
      <c r="K41" s="114" t="s">
        <v>104</v>
      </c>
      <c r="M41" s="115" t="s">
        <v>279</v>
      </c>
      <c r="N41" s="115" t="s">
        <v>280</v>
      </c>
      <c r="O41" s="115" t="s">
        <v>281</v>
      </c>
      <c r="P41" s="115" t="s">
        <v>282</v>
      </c>
      <c r="Q41" s="115" t="s">
        <v>283</v>
      </c>
      <c r="R41" s="115" t="s">
        <v>284</v>
      </c>
      <c r="S41" s="114" t="s">
        <v>105</v>
      </c>
      <c r="T41" s="114" t="s">
        <v>104</v>
      </c>
      <c r="V41" s="189" t="s">
        <v>290</v>
      </c>
      <c r="W41" s="189" t="s">
        <v>287</v>
      </c>
      <c r="X41" s="189" t="s">
        <v>289</v>
      </c>
      <c r="Y41" s="189" t="s">
        <v>288</v>
      </c>
      <c r="Z41" s="189" t="s">
        <v>291</v>
      </c>
      <c r="AA41" s="189" t="s">
        <v>291</v>
      </c>
    </row>
    <row r="42" spans="2:27" x14ac:dyDescent="0.15">
      <c r="B42" s="117">
        <v>1</v>
      </c>
      <c r="C42" s="118" t="s">
        <v>165</v>
      </c>
      <c r="D42" s="119">
        <f>IF(Site_Delivery_Systems="Y",0,IF('System Typical BOM Translator'!$F62&gt;0,'System Typical BOM Translator'!$F62*VLOOKUP('System Typicals @ Industry Std'!$B42,Systems_National_Industry_Standards,9),0))</f>
        <v>0</v>
      </c>
      <c r="E42" s="119">
        <f>IF(Site_Delivery_Systems="Y",0,IF('System Typical BOM Translator'!$F62&gt;0,'System Typical BOM Translator'!$F62*VLOOKUP('System Typicals @ Industry Std'!$B42,Systems_National_Industry_Standards,10),0))</f>
        <v>0</v>
      </c>
      <c r="F42" s="119">
        <f>IF('System Typical BOM Translator'!$F62&gt;0,'System Typical BOM Translator'!$F62*VLOOKUP('System Typicals @ Industry Std'!$B42,Systems_National_Industry_Standards,12),0)</f>
        <v>0</v>
      </c>
      <c r="G42" s="119">
        <f>IF('System Typical BOM Translator'!$F62&gt;0,'System Typical BOM Translator'!$F62*VLOOKUP('System Typicals @ Industry Std'!$B42,Systems_National_Industry_Standards,13),0)</f>
        <v>0</v>
      </c>
      <c r="H42" s="119">
        <f>IF('System Typical BOM Translator'!$F62&gt;0,'System Typical BOM Translator'!$F62*VLOOKUP('System Typicals @ Industry Std'!$B42,Systems_National_Industry_Standards,15),0)</f>
        <v>0</v>
      </c>
      <c r="I42" s="119">
        <f>IF('System Typical BOM Translator'!$F62&gt;0,'System Typical BOM Translator'!$F62*VLOOKUP('System Typicals @ Industry Std'!$B42,Systems_National_Industry_Standards,16),0)</f>
        <v>0</v>
      </c>
      <c r="J42" s="119">
        <f>IF('System Typical BOM Translator'!$F62&gt;0,'System Typical BOM Translator'!$F62*VLOOKUP('System Typicals @ Industry Std'!$B42,Systems_National_Industry_Standards,8),0)</f>
        <v>0</v>
      </c>
      <c r="K42" s="119">
        <f>IF('System Typical BOM Translator'!$F62&gt;0,'System Typical BOM Translator'!$F62*VLOOKUP('System Typicals @ Industry Std'!$B42,Systems_National_Industry_Standards,7),0)</f>
        <v>0</v>
      </c>
      <c r="L42" s="120"/>
      <c r="M42" s="119">
        <f t="shared" ref="M42:R42" si="17">D42/60</f>
        <v>0</v>
      </c>
      <c r="N42" s="119">
        <f t="shared" si="17"/>
        <v>0</v>
      </c>
      <c r="O42" s="119">
        <f t="shared" si="17"/>
        <v>0</v>
      </c>
      <c r="P42" s="119">
        <f t="shared" si="17"/>
        <v>0</v>
      </c>
      <c r="Q42" s="119">
        <f t="shared" si="17"/>
        <v>0</v>
      </c>
      <c r="R42" s="119">
        <f t="shared" si="17"/>
        <v>0</v>
      </c>
      <c r="S42" s="121">
        <f>J42</f>
        <v>0</v>
      </c>
      <c r="T42" s="121">
        <f>K42</f>
        <v>0</v>
      </c>
      <c r="U42" s="117"/>
      <c r="V42" s="175"/>
      <c r="W42" s="175"/>
      <c r="X42" s="175"/>
      <c r="Y42" s="175"/>
      <c r="Z42" s="175"/>
      <c r="AA42" s="175"/>
    </row>
    <row r="43" spans="2:27" x14ac:dyDescent="0.15">
      <c r="B43" s="117">
        <v>2</v>
      </c>
      <c r="C43" s="118" t="s">
        <v>166</v>
      </c>
      <c r="D43" s="119">
        <f>IF(Site_Delivery_Systems="Y",0,IF('System Typical BOM Translator'!$F63&gt;0,'System Typical BOM Translator'!$F63*VLOOKUP('System Typicals @ Industry Std'!$B43,Systems_National_Industry_Standards,9),0))</f>
        <v>0</v>
      </c>
      <c r="E43" s="119">
        <f>IF(Site_Delivery_Systems="Y",0,IF('System Typical BOM Translator'!$F63&gt;0,'System Typical BOM Translator'!$F63*VLOOKUP('System Typicals @ Industry Std'!$B43,Systems_National_Industry_Standards,10),0))</f>
        <v>0</v>
      </c>
      <c r="F43" s="119">
        <f>IF('System Typical BOM Translator'!$F63&gt;0,'System Typical BOM Translator'!$F63*VLOOKUP('System Typicals @ Industry Std'!$B43,Systems_National_Industry_Standards,12),0)</f>
        <v>0</v>
      </c>
      <c r="G43" s="119">
        <f>IF('System Typical BOM Translator'!$F63&gt;0,'System Typical BOM Translator'!$F63*VLOOKUP('System Typicals @ Industry Std'!$B43,Systems_National_Industry_Standards,13),0)</f>
        <v>0</v>
      </c>
      <c r="H43" s="119">
        <f>IF('System Typical BOM Translator'!$F63&gt;0,'System Typical BOM Translator'!$F63*VLOOKUP('System Typicals @ Industry Std'!$B43,Systems_National_Industry_Standards,15),0)</f>
        <v>0</v>
      </c>
      <c r="I43" s="119">
        <f>IF('System Typical BOM Translator'!$F63&gt;0,'System Typical BOM Translator'!$F63*VLOOKUP('System Typicals @ Industry Std'!$B43,Systems_National_Industry_Standards,16),0)</f>
        <v>0</v>
      </c>
      <c r="J43" s="119">
        <f>IF('System Typical BOM Translator'!$F63&gt;0,'System Typical BOM Translator'!$F63*VLOOKUP('System Typicals @ Industry Std'!$B43,Systems_National_Industry_Standards,8),0)</f>
        <v>0</v>
      </c>
      <c r="K43" s="119">
        <f>IF('System Typical BOM Translator'!$F63&gt;0,'System Typical BOM Translator'!$F63*VLOOKUP('System Typicals @ Industry Std'!$B43,Systems_National_Industry_Standards,7),0)</f>
        <v>0</v>
      </c>
      <c r="L43" s="117"/>
      <c r="M43" s="119">
        <f t="shared" ref="M43:M55" si="18">D43/60</f>
        <v>0</v>
      </c>
      <c r="N43" s="119">
        <f t="shared" ref="N43:N55" si="19">E43/60</f>
        <v>0</v>
      </c>
      <c r="O43" s="119">
        <f t="shared" ref="O43:O55" si="20">F43/60</f>
        <v>0</v>
      </c>
      <c r="P43" s="119">
        <f t="shared" ref="P43:P55" si="21">G43/60</f>
        <v>0</v>
      </c>
      <c r="Q43" s="119">
        <f t="shared" ref="Q43:Q55" si="22">H43/60</f>
        <v>0</v>
      </c>
      <c r="R43" s="119">
        <f t="shared" ref="R43:R55" si="23">I43/60</f>
        <v>0</v>
      </c>
      <c r="S43" s="121">
        <f t="shared" ref="S43:S55" si="24">J43</f>
        <v>0</v>
      </c>
      <c r="T43" s="121">
        <f t="shared" ref="T43:T55" si="25">K43</f>
        <v>0</v>
      </c>
      <c r="U43" s="117"/>
      <c r="V43" s="175"/>
      <c r="W43" s="175"/>
      <c r="X43" s="175"/>
      <c r="Y43" s="175"/>
      <c r="Z43" s="175"/>
      <c r="AA43" s="175"/>
    </row>
    <row r="44" spans="2:27" x14ac:dyDescent="0.15">
      <c r="B44" s="117">
        <v>3</v>
      </c>
      <c r="C44" s="118" t="s">
        <v>140</v>
      </c>
      <c r="D44" s="119">
        <f>IF(Site_Delivery_Systems="Y",0,IF('System Typical BOM Translator'!$F64&gt;0,'System Typical BOM Translator'!$F64*VLOOKUP('System Typicals @ Industry Std'!$B44,Systems_National_Industry_Standards,9),0))</f>
        <v>0</v>
      </c>
      <c r="E44" s="119">
        <f>IF(Site_Delivery_Systems="Y",0,IF('System Typical BOM Translator'!$F64&gt;0,'System Typical BOM Translator'!$F64*VLOOKUP('System Typicals @ Industry Std'!$B44,Systems_National_Industry_Standards,10),0))</f>
        <v>0</v>
      </c>
      <c r="F44" s="119">
        <f>IF('System Typical BOM Translator'!$F64&gt;0,'System Typical BOM Translator'!$F64*VLOOKUP('System Typicals @ Industry Std'!$B44,Systems_National_Industry_Standards,12),0)</f>
        <v>0</v>
      </c>
      <c r="G44" s="119">
        <f>IF('System Typical BOM Translator'!$F64&gt;0,'System Typical BOM Translator'!$F64*VLOOKUP('System Typicals @ Industry Std'!$B44,Systems_National_Industry_Standards,13),0)</f>
        <v>0</v>
      </c>
      <c r="H44" s="119">
        <f>IF('System Typical BOM Translator'!$F64&gt;0,'System Typical BOM Translator'!$F64*VLOOKUP('System Typicals @ Industry Std'!$B44,Systems_National_Industry_Standards,15),0)</f>
        <v>0</v>
      </c>
      <c r="I44" s="119">
        <f>IF('System Typical BOM Translator'!$F64&gt;0,'System Typical BOM Translator'!$F64*VLOOKUP('System Typicals @ Industry Std'!$B44,Systems_National_Industry_Standards,16),0)</f>
        <v>0</v>
      </c>
      <c r="J44" s="119">
        <f>IF('System Typical BOM Translator'!$F64&gt;0,'System Typical BOM Translator'!$F64*VLOOKUP('System Typicals @ Industry Std'!$B44,Systems_National_Industry_Standards,8),0)</f>
        <v>0</v>
      </c>
      <c r="K44" s="119">
        <f>IF('System Typical BOM Translator'!$F64&gt;0,'System Typical BOM Translator'!$F64*VLOOKUP('System Typicals @ Industry Std'!$B44,Systems_National_Industry_Standards,7),0)</f>
        <v>0</v>
      </c>
      <c r="L44" s="122"/>
      <c r="M44" s="119">
        <f t="shared" si="18"/>
        <v>0</v>
      </c>
      <c r="N44" s="119">
        <f t="shared" si="19"/>
        <v>0</v>
      </c>
      <c r="O44" s="119">
        <f t="shared" si="20"/>
        <v>0</v>
      </c>
      <c r="P44" s="119">
        <f t="shared" si="21"/>
        <v>0</v>
      </c>
      <c r="Q44" s="119">
        <f t="shared" si="22"/>
        <v>0</v>
      </c>
      <c r="R44" s="119">
        <f t="shared" si="23"/>
        <v>0</v>
      </c>
      <c r="S44" s="121">
        <f t="shared" si="24"/>
        <v>0</v>
      </c>
      <c r="T44" s="121">
        <f t="shared" si="25"/>
        <v>0</v>
      </c>
      <c r="U44" s="122"/>
      <c r="V44" s="175"/>
      <c r="W44" s="175"/>
      <c r="X44" s="175"/>
      <c r="Y44" s="175"/>
      <c r="Z44" s="175"/>
      <c r="AA44" s="175"/>
    </row>
    <row r="45" spans="2:27" x14ac:dyDescent="0.15">
      <c r="B45" s="117">
        <v>4</v>
      </c>
      <c r="C45" s="123" t="s">
        <v>168</v>
      </c>
      <c r="D45" s="119">
        <f>IF(Site_Delivery_Systems="Y",0,IF('System Typical BOM Translator'!$F65&gt;0,'System Typical BOM Translator'!$F65*VLOOKUP('System Typicals @ Industry Std'!$B45,Systems_National_Industry_Standards,9),0))</f>
        <v>0</v>
      </c>
      <c r="E45" s="119">
        <f>IF(Site_Delivery_Systems="Y",0,IF('System Typical BOM Translator'!$F65&gt;0,'System Typical BOM Translator'!$F65*VLOOKUP('System Typicals @ Industry Std'!$B45,Systems_National_Industry_Standards,10),0))</f>
        <v>0</v>
      </c>
      <c r="F45" s="119">
        <f>IF('System Typical BOM Translator'!$F65&gt;0,'System Typical BOM Translator'!$F65*VLOOKUP('System Typicals @ Industry Std'!$B45,Systems_National_Industry_Standards,12),0)</f>
        <v>0</v>
      </c>
      <c r="G45" s="119">
        <f>IF('System Typical BOM Translator'!$F65&gt;0,'System Typical BOM Translator'!$F65*VLOOKUP('System Typicals @ Industry Std'!$B45,Systems_National_Industry_Standards,13),0)</f>
        <v>0</v>
      </c>
      <c r="H45" s="119">
        <f>IF('System Typical BOM Translator'!$F65&gt;0,'System Typical BOM Translator'!$F65*VLOOKUP('System Typicals @ Industry Std'!$B45,Systems_National_Industry_Standards,15),0)</f>
        <v>0</v>
      </c>
      <c r="I45" s="119">
        <f>IF('System Typical BOM Translator'!$F65&gt;0,'System Typical BOM Translator'!$F65*VLOOKUP('System Typicals @ Industry Std'!$B45,Systems_National_Industry_Standards,16),0)</f>
        <v>0</v>
      </c>
      <c r="J45" s="119">
        <f>IF('System Typical BOM Translator'!$F65&gt;0,'System Typical BOM Translator'!$F65*VLOOKUP('System Typicals @ Industry Std'!$B45,Systems_National_Industry_Standards,8),0)</f>
        <v>0</v>
      </c>
      <c r="K45" s="119">
        <f>IF('System Typical BOM Translator'!$F65&gt;0,'System Typical BOM Translator'!$F65*VLOOKUP('System Typicals @ Industry Std'!$B45,Systems_National_Industry_Standards,7),0)</f>
        <v>0</v>
      </c>
      <c r="L45" s="122"/>
      <c r="M45" s="119">
        <f t="shared" si="18"/>
        <v>0</v>
      </c>
      <c r="N45" s="119">
        <f t="shared" si="19"/>
        <v>0</v>
      </c>
      <c r="O45" s="119">
        <f t="shared" si="20"/>
        <v>0</v>
      </c>
      <c r="P45" s="119">
        <f t="shared" si="21"/>
        <v>0</v>
      </c>
      <c r="Q45" s="119">
        <f t="shared" si="22"/>
        <v>0</v>
      </c>
      <c r="R45" s="119">
        <f t="shared" si="23"/>
        <v>0</v>
      </c>
      <c r="S45" s="121">
        <f t="shared" si="24"/>
        <v>0</v>
      </c>
      <c r="T45" s="121">
        <f t="shared" si="25"/>
        <v>0</v>
      </c>
      <c r="U45" s="122"/>
      <c r="V45" s="175"/>
      <c r="W45" s="175"/>
      <c r="X45" s="175"/>
      <c r="Y45" s="175"/>
      <c r="Z45" s="175"/>
      <c r="AA45" s="175"/>
    </row>
    <row r="46" spans="2:27" x14ac:dyDescent="0.15">
      <c r="B46" s="117">
        <v>5</v>
      </c>
      <c r="C46" s="124" t="s">
        <v>167</v>
      </c>
      <c r="D46" s="119">
        <f>IF(Site_Delivery_Systems="Y",0,IF('System Typical BOM Translator'!$F66&gt;0,'System Typical BOM Translator'!$F66*VLOOKUP('System Typicals @ Industry Std'!$B46,Systems_National_Industry_Standards,9),0))</f>
        <v>0</v>
      </c>
      <c r="E46" s="119">
        <f>IF(Site_Delivery_Systems="Y",0,IF('System Typical BOM Translator'!$F66&gt;0,'System Typical BOM Translator'!$F66*VLOOKUP('System Typicals @ Industry Std'!$B46,Systems_National_Industry_Standards,10),0))</f>
        <v>0</v>
      </c>
      <c r="F46" s="119">
        <f>IF('System Typical BOM Translator'!$F66&gt;0,'System Typical BOM Translator'!$F66*VLOOKUP('System Typicals @ Industry Std'!$B46,Systems_National_Industry_Standards,12),0)</f>
        <v>0</v>
      </c>
      <c r="G46" s="119">
        <f>IF('System Typical BOM Translator'!$F66&gt;0,'System Typical BOM Translator'!$F66*VLOOKUP('System Typicals @ Industry Std'!$B46,Systems_National_Industry_Standards,13),0)</f>
        <v>0</v>
      </c>
      <c r="H46" s="119">
        <f>IF('System Typical BOM Translator'!$F66&gt;0,'System Typical BOM Translator'!$F66*VLOOKUP('System Typicals @ Industry Std'!$B46,Systems_National_Industry_Standards,15),0)</f>
        <v>0</v>
      </c>
      <c r="I46" s="119">
        <f>IF('System Typical BOM Translator'!$F66&gt;0,'System Typical BOM Translator'!$F66*VLOOKUP('System Typicals @ Industry Std'!$B46,Systems_National_Industry_Standards,16),0)</f>
        <v>0</v>
      </c>
      <c r="J46" s="119">
        <f>IF('System Typical BOM Translator'!$F66&gt;0,'System Typical BOM Translator'!$F66*VLOOKUP('System Typicals @ Industry Std'!$B46,Systems_National_Industry_Standards,8),0)</f>
        <v>0</v>
      </c>
      <c r="K46" s="119">
        <f>IF('System Typical BOM Translator'!$F66&gt;0,'System Typical BOM Translator'!$F66*VLOOKUP('System Typicals @ Industry Std'!$B46,Systems_National_Industry_Standards,7),0)</f>
        <v>0</v>
      </c>
      <c r="L46" s="122"/>
      <c r="M46" s="119">
        <f t="shared" si="18"/>
        <v>0</v>
      </c>
      <c r="N46" s="119">
        <f t="shared" si="19"/>
        <v>0</v>
      </c>
      <c r="O46" s="119">
        <f t="shared" si="20"/>
        <v>0</v>
      </c>
      <c r="P46" s="119">
        <f t="shared" si="21"/>
        <v>0</v>
      </c>
      <c r="Q46" s="119">
        <f t="shared" si="22"/>
        <v>0</v>
      </c>
      <c r="R46" s="119">
        <f t="shared" si="23"/>
        <v>0</v>
      </c>
      <c r="S46" s="121">
        <f t="shared" si="24"/>
        <v>0</v>
      </c>
      <c r="T46" s="121">
        <f t="shared" si="25"/>
        <v>0</v>
      </c>
      <c r="U46" s="122"/>
      <c r="V46" s="175"/>
      <c r="W46" s="175"/>
      <c r="X46" s="175"/>
      <c r="Y46" s="175"/>
      <c r="Z46" s="175"/>
      <c r="AA46" s="175"/>
    </row>
    <row r="47" spans="2:27" x14ac:dyDescent="0.15">
      <c r="B47" s="117">
        <v>6</v>
      </c>
      <c r="C47" s="124" t="s">
        <v>164</v>
      </c>
      <c r="D47" s="119">
        <f>IF(Site_Delivery_Systems="Y",0,IF('System Typical BOM Translator'!$F67&gt;0,'System Typical BOM Translator'!$F67*VLOOKUP('System Typicals @ Industry Std'!$B47,Systems_National_Industry_Standards,9),0))</f>
        <v>0</v>
      </c>
      <c r="E47" s="119">
        <f>IF(Site_Delivery_Systems="Y",0,IF('System Typical BOM Translator'!$F67&gt;0,'System Typical BOM Translator'!$F67*VLOOKUP('System Typicals @ Industry Std'!$B47,Systems_National_Industry_Standards,10),0))</f>
        <v>0</v>
      </c>
      <c r="F47" s="119">
        <f>IF('System Typical BOM Translator'!$F67&gt;0,'System Typical BOM Translator'!$F67*VLOOKUP('System Typicals @ Industry Std'!$B47,Systems_National_Industry_Standards,12),0)</f>
        <v>0</v>
      </c>
      <c r="G47" s="119">
        <f>IF('System Typical BOM Translator'!$F67&gt;0,'System Typical BOM Translator'!$F67*VLOOKUP('System Typicals @ Industry Std'!$B47,Systems_National_Industry_Standards,13),0)</f>
        <v>0</v>
      </c>
      <c r="H47" s="119">
        <f>IF('System Typical BOM Translator'!$F67&gt;0,'System Typical BOM Translator'!$F67*VLOOKUP('System Typicals @ Industry Std'!$B47,Systems_National_Industry_Standards,15),0)</f>
        <v>0</v>
      </c>
      <c r="I47" s="119">
        <f>IF('System Typical BOM Translator'!$F67&gt;0,'System Typical BOM Translator'!$F67*VLOOKUP('System Typicals @ Industry Std'!$B47,Systems_National_Industry_Standards,16),0)</f>
        <v>0</v>
      </c>
      <c r="J47" s="119">
        <f>IF('System Typical BOM Translator'!$F67&gt;0,'System Typical BOM Translator'!$F67*VLOOKUP('System Typicals @ Industry Std'!$B47,Systems_National_Industry_Standards,8),0)</f>
        <v>0</v>
      </c>
      <c r="K47" s="119">
        <f>IF('System Typical BOM Translator'!$F67&gt;0,'System Typical BOM Translator'!$F67*VLOOKUP('System Typicals @ Industry Std'!$B47,Systems_National_Industry_Standards,7),0)</f>
        <v>0</v>
      </c>
      <c r="L47" s="122"/>
      <c r="M47" s="119">
        <f t="shared" si="18"/>
        <v>0</v>
      </c>
      <c r="N47" s="119">
        <f t="shared" si="19"/>
        <v>0</v>
      </c>
      <c r="O47" s="119">
        <f t="shared" si="20"/>
        <v>0</v>
      </c>
      <c r="P47" s="119">
        <f t="shared" si="21"/>
        <v>0</v>
      </c>
      <c r="Q47" s="119">
        <f t="shared" si="22"/>
        <v>0</v>
      </c>
      <c r="R47" s="119">
        <f t="shared" si="23"/>
        <v>0</v>
      </c>
      <c r="S47" s="121">
        <f t="shared" si="24"/>
        <v>0</v>
      </c>
      <c r="T47" s="121">
        <f t="shared" si="25"/>
        <v>0</v>
      </c>
      <c r="U47" s="122"/>
      <c r="V47" s="175"/>
      <c r="W47" s="175"/>
      <c r="X47" s="175"/>
      <c r="Y47" s="175"/>
      <c r="Z47" s="175"/>
      <c r="AA47" s="175"/>
    </row>
    <row r="48" spans="2:27" x14ac:dyDescent="0.15">
      <c r="B48" s="117">
        <v>7</v>
      </c>
      <c r="C48" s="124" t="s">
        <v>94</v>
      </c>
      <c r="D48" s="119">
        <f>IF(Site_Delivery_Systems="Y",0,IF('System Typical BOM Translator'!$F68&gt;0,'System Typical BOM Translator'!$F68*VLOOKUP('System Typicals @ Industry Std'!$B48,Systems_National_Industry_Standards,9),0))</f>
        <v>0</v>
      </c>
      <c r="E48" s="119">
        <f>IF(Site_Delivery_Systems="Y",0,IF('System Typical BOM Translator'!$F68&gt;0,'System Typical BOM Translator'!$F68*VLOOKUP('System Typicals @ Industry Std'!$B48,Systems_National_Industry_Standards,10),0))</f>
        <v>0</v>
      </c>
      <c r="F48" s="119">
        <f>IF('System Typical BOM Translator'!$F68&gt;0,'System Typical BOM Translator'!$F68*VLOOKUP('System Typicals @ Industry Std'!$B48,Systems_National_Industry_Standards,12),0)</f>
        <v>0</v>
      </c>
      <c r="G48" s="119">
        <f>IF('System Typical BOM Translator'!$F68&gt;0,'System Typical BOM Translator'!$F68*VLOOKUP('System Typicals @ Industry Std'!$B48,Systems_National_Industry_Standards,13),0)</f>
        <v>0</v>
      </c>
      <c r="H48" s="119">
        <f>IF('System Typical BOM Translator'!$F68&gt;0,'System Typical BOM Translator'!$F68*VLOOKUP('System Typicals @ Industry Std'!$B48,Systems_National_Industry_Standards,15),0)</f>
        <v>0</v>
      </c>
      <c r="I48" s="119">
        <f>IF('System Typical BOM Translator'!$F68&gt;0,'System Typical BOM Translator'!$F68*VLOOKUP('System Typicals @ Industry Std'!$B48,Systems_National_Industry_Standards,16),0)</f>
        <v>0</v>
      </c>
      <c r="J48" s="119">
        <f>IF('System Typical BOM Translator'!$F68&gt;0,'System Typical BOM Translator'!$F68*VLOOKUP('System Typicals @ Industry Std'!$B48,Systems_National_Industry_Standards,8),0)</f>
        <v>0</v>
      </c>
      <c r="K48" s="119">
        <f>IF('System Typical BOM Translator'!$F68&gt;0,'System Typical BOM Translator'!$F68*VLOOKUP('System Typicals @ Industry Std'!$B48,Systems_National_Industry_Standards,7),0)</f>
        <v>0</v>
      </c>
      <c r="L48" s="122"/>
      <c r="M48" s="119">
        <f t="shared" si="18"/>
        <v>0</v>
      </c>
      <c r="N48" s="119">
        <f t="shared" si="19"/>
        <v>0</v>
      </c>
      <c r="O48" s="119">
        <f t="shared" si="20"/>
        <v>0</v>
      </c>
      <c r="P48" s="119">
        <f t="shared" si="21"/>
        <v>0</v>
      </c>
      <c r="Q48" s="119">
        <f t="shared" si="22"/>
        <v>0</v>
      </c>
      <c r="R48" s="119">
        <f t="shared" si="23"/>
        <v>0</v>
      </c>
      <c r="S48" s="121">
        <f t="shared" si="24"/>
        <v>0</v>
      </c>
      <c r="T48" s="121">
        <f t="shared" si="25"/>
        <v>0</v>
      </c>
      <c r="U48" s="122"/>
      <c r="V48" s="175"/>
      <c r="W48" s="175"/>
      <c r="X48" s="175"/>
      <c r="Y48" s="175"/>
      <c r="Z48" s="175"/>
      <c r="AA48" s="175"/>
    </row>
    <row r="49" spans="2:27" x14ac:dyDescent="0.15">
      <c r="B49" s="117">
        <v>8</v>
      </c>
      <c r="C49" s="124" t="s">
        <v>95</v>
      </c>
      <c r="D49" s="119">
        <f>IF(Site_Delivery_Systems="Y",0,IF('System Typical BOM Translator'!$F69&gt;0,'System Typical BOM Translator'!$F69*VLOOKUP('System Typicals @ Industry Std'!$B49,Systems_National_Industry_Standards,9),0))</f>
        <v>0</v>
      </c>
      <c r="E49" s="119">
        <f>IF(Site_Delivery_Systems="Y",0,IF('System Typical BOM Translator'!$F69&gt;0,'System Typical BOM Translator'!$F69*VLOOKUP('System Typicals @ Industry Std'!$B49,Systems_National_Industry_Standards,10),0))</f>
        <v>0</v>
      </c>
      <c r="F49" s="119">
        <f>IF('System Typical BOM Translator'!$F69&gt;0,'System Typical BOM Translator'!$F69*VLOOKUP('System Typicals @ Industry Std'!$B49,Systems_National_Industry_Standards,12),0)</f>
        <v>0</v>
      </c>
      <c r="G49" s="119">
        <f>IF('System Typical BOM Translator'!$F69&gt;0,'System Typical BOM Translator'!$F69*VLOOKUP('System Typicals @ Industry Std'!$B49,Systems_National_Industry_Standards,13),0)</f>
        <v>0</v>
      </c>
      <c r="H49" s="119">
        <f>IF('System Typical BOM Translator'!$F69&gt;0,'System Typical BOM Translator'!$F69*VLOOKUP('System Typicals @ Industry Std'!$B49,Systems_National_Industry_Standards,15),0)</f>
        <v>0</v>
      </c>
      <c r="I49" s="119">
        <f>IF('System Typical BOM Translator'!$F69&gt;0,'System Typical BOM Translator'!$F69*VLOOKUP('System Typicals @ Industry Std'!$B49,Systems_National_Industry_Standards,16),0)</f>
        <v>0</v>
      </c>
      <c r="J49" s="119">
        <f>IF('System Typical BOM Translator'!$F69&gt;0,'System Typical BOM Translator'!$F69*VLOOKUP('System Typicals @ Industry Std'!$B49,Systems_National_Industry_Standards,8),0)</f>
        <v>0</v>
      </c>
      <c r="K49" s="119">
        <f>IF('System Typical BOM Translator'!$F69&gt;0,'System Typical BOM Translator'!$F69*VLOOKUP('System Typicals @ Industry Std'!$B49,Systems_National_Industry_Standards,7),0)</f>
        <v>0</v>
      </c>
      <c r="L49" s="117"/>
      <c r="M49" s="119">
        <f t="shared" si="18"/>
        <v>0</v>
      </c>
      <c r="N49" s="119">
        <f t="shared" si="19"/>
        <v>0</v>
      </c>
      <c r="O49" s="119">
        <f t="shared" si="20"/>
        <v>0</v>
      </c>
      <c r="P49" s="119">
        <f t="shared" si="21"/>
        <v>0</v>
      </c>
      <c r="Q49" s="119">
        <f t="shared" si="22"/>
        <v>0</v>
      </c>
      <c r="R49" s="119">
        <f t="shared" si="23"/>
        <v>0</v>
      </c>
      <c r="S49" s="121">
        <f t="shared" si="24"/>
        <v>0</v>
      </c>
      <c r="T49" s="121">
        <f t="shared" si="25"/>
        <v>0</v>
      </c>
      <c r="U49" s="117"/>
      <c r="V49" s="175"/>
      <c r="W49" s="175"/>
      <c r="X49" s="175"/>
      <c r="Y49" s="175"/>
      <c r="Z49" s="175"/>
      <c r="AA49" s="175"/>
    </row>
    <row r="50" spans="2:27" x14ac:dyDescent="0.15">
      <c r="B50" s="117">
        <v>9</v>
      </c>
      <c r="C50" s="124" t="s">
        <v>142</v>
      </c>
      <c r="D50" s="119">
        <f>IF(Site_Delivery_Systems="Y",0,IF('System Typical BOM Translator'!$F70&gt;0,'System Typical BOM Translator'!$F70*VLOOKUP('System Typicals @ Industry Std'!$B50,Systems_National_Industry_Standards,9),0))</f>
        <v>0</v>
      </c>
      <c r="E50" s="119">
        <f>IF(Site_Delivery_Systems="Y",0,IF('System Typical BOM Translator'!$F70&gt;0,'System Typical BOM Translator'!$F70*VLOOKUP('System Typicals @ Industry Std'!$B50,Systems_National_Industry_Standards,10),0))</f>
        <v>0</v>
      </c>
      <c r="F50" s="119">
        <f>IF('System Typical BOM Translator'!$F70&gt;0,'System Typical BOM Translator'!$F70*VLOOKUP('System Typicals @ Industry Std'!$B50,Systems_National_Industry_Standards,12),0)</f>
        <v>0</v>
      </c>
      <c r="G50" s="119">
        <f>IF('System Typical BOM Translator'!$F70&gt;0,'System Typical BOM Translator'!$F70*VLOOKUP('System Typicals @ Industry Std'!$B50,Systems_National_Industry_Standards,13),0)</f>
        <v>0</v>
      </c>
      <c r="H50" s="119">
        <f>IF('System Typical BOM Translator'!$F70&gt;0,'System Typical BOM Translator'!$F70*VLOOKUP('System Typicals @ Industry Std'!$B50,Systems_National_Industry_Standards,15),0)</f>
        <v>0</v>
      </c>
      <c r="I50" s="119">
        <f>IF('System Typical BOM Translator'!$F70&gt;0,'System Typical BOM Translator'!$F70*VLOOKUP('System Typicals @ Industry Std'!$B50,Systems_National_Industry_Standards,16),0)</f>
        <v>0</v>
      </c>
      <c r="J50" s="119">
        <f>IF('System Typical BOM Translator'!$F70&gt;0,'System Typical BOM Translator'!$F70*VLOOKUP('System Typicals @ Industry Std'!$B50,Systems_National_Industry_Standards,8),0)</f>
        <v>0</v>
      </c>
      <c r="K50" s="119">
        <f>IF('System Typical BOM Translator'!$F70&gt;0,'System Typical BOM Translator'!$F70*VLOOKUP('System Typicals @ Industry Std'!$B50,Systems_National_Industry_Standards,7),0)</f>
        <v>0</v>
      </c>
      <c r="L50" s="117"/>
      <c r="M50" s="119">
        <f t="shared" si="18"/>
        <v>0</v>
      </c>
      <c r="N50" s="119">
        <f t="shared" si="19"/>
        <v>0</v>
      </c>
      <c r="O50" s="119">
        <f t="shared" si="20"/>
        <v>0</v>
      </c>
      <c r="P50" s="119">
        <f t="shared" si="21"/>
        <v>0</v>
      </c>
      <c r="Q50" s="119">
        <f t="shared" si="22"/>
        <v>0</v>
      </c>
      <c r="R50" s="119">
        <f t="shared" si="23"/>
        <v>0</v>
      </c>
      <c r="S50" s="121">
        <f t="shared" si="24"/>
        <v>0</v>
      </c>
      <c r="T50" s="121">
        <f t="shared" si="25"/>
        <v>0</v>
      </c>
      <c r="U50" s="117"/>
      <c r="V50" s="175"/>
      <c r="W50" s="175"/>
      <c r="X50" s="175"/>
      <c r="Y50" s="175"/>
      <c r="Z50" s="175"/>
      <c r="AA50" s="175"/>
    </row>
    <row r="51" spans="2:27" x14ac:dyDescent="0.15">
      <c r="B51" s="117">
        <v>10</v>
      </c>
      <c r="C51" s="124" t="s">
        <v>138</v>
      </c>
      <c r="D51" s="119">
        <f>IF(Site_Delivery_Systems="Y",0,IF('System Typical BOM Translator'!$F71&gt;0,'System Typical BOM Translator'!$F71*VLOOKUP('System Typicals @ Industry Std'!$B51,Systems_National_Industry_Standards,9),0))</f>
        <v>0</v>
      </c>
      <c r="E51" s="119">
        <f>IF(Site_Delivery_Systems="Y",0,IF('System Typical BOM Translator'!$F71&gt;0,'System Typical BOM Translator'!$F71*VLOOKUP('System Typicals @ Industry Std'!$B51,Systems_National_Industry_Standards,10),0))</f>
        <v>0</v>
      </c>
      <c r="F51" s="119">
        <f>IF('System Typical BOM Translator'!$F71&gt;0,'System Typical BOM Translator'!$F71*VLOOKUP('System Typicals @ Industry Std'!$B51,Systems_National_Industry_Standards,12),0)</f>
        <v>0</v>
      </c>
      <c r="G51" s="119">
        <f>IF('System Typical BOM Translator'!$F71&gt;0,'System Typical BOM Translator'!$F71*VLOOKUP('System Typicals @ Industry Std'!$B51,Systems_National_Industry_Standards,13),0)</f>
        <v>0</v>
      </c>
      <c r="H51" s="119">
        <f>IF('System Typical BOM Translator'!$F71&gt;0,'System Typical BOM Translator'!$F71*VLOOKUP('System Typicals @ Industry Std'!$B51,Systems_National_Industry_Standards,15),0)</f>
        <v>0</v>
      </c>
      <c r="I51" s="119">
        <f>IF('System Typical BOM Translator'!$F71&gt;0,'System Typical BOM Translator'!$F71*VLOOKUP('System Typicals @ Industry Std'!$B51,Systems_National_Industry_Standards,16),0)</f>
        <v>0</v>
      </c>
      <c r="J51" s="119">
        <f>IF('System Typical BOM Translator'!$F71&gt;0,'System Typical BOM Translator'!$F71*VLOOKUP('System Typicals @ Industry Std'!$B51,Systems_National_Industry_Standards,8),0)</f>
        <v>0</v>
      </c>
      <c r="K51" s="119">
        <f>IF('System Typical BOM Translator'!$F71&gt;0,'System Typical BOM Translator'!$F71*VLOOKUP('System Typicals @ Industry Std'!$B51,Systems_National_Industry_Standards,7),0)</f>
        <v>0</v>
      </c>
      <c r="L51" s="117"/>
      <c r="M51" s="119">
        <f t="shared" si="18"/>
        <v>0</v>
      </c>
      <c r="N51" s="119">
        <f t="shared" si="19"/>
        <v>0</v>
      </c>
      <c r="O51" s="119">
        <f t="shared" si="20"/>
        <v>0</v>
      </c>
      <c r="P51" s="119">
        <f t="shared" si="21"/>
        <v>0</v>
      </c>
      <c r="Q51" s="119">
        <f t="shared" si="22"/>
        <v>0</v>
      </c>
      <c r="R51" s="119">
        <f t="shared" si="23"/>
        <v>0</v>
      </c>
      <c r="S51" s="121">
        <f t="shared" si="24"/>
        <v>0</v>
      </c>
      <c r="T51" s="121">
        <f t="shared" si="25"/>
        <v>0</v>
      </c>
      <c r="U51" s="117"/>
      <c r="V51" s="175"/>
      <c r="W51" s="175"/>
      <c r="X51" s="175"/>
      <c r="Y51" s="175"/>
      <c r="Z51" s="175"/>
      <c r="AA51" s="175"/>
    </row>
    <row r="52" spans="2:27" x14ac:dyDescent="0.15">
      <c r="B52" s="117">
        <v>11</v>
      </c>
      <c r="C52" s="124" t="s">
        <v>141</v>
      </c>
      <c r="D52" s="119">
        <f>IF(Site_Delivery_Systems="Y",0,IF('System Typical BOM Translator'!$F72&gt;0,'System Typical BOM Translator'!$F72*VLOOKUP('System Typicals @ Industry Std'!$B52,Systems_National_Industry_Standards,9),0))</f>
        <v>0</v>
      </c>
      <c r="E52" s="119">
        <f>IF(Site_Delivery_Systems="Y",0,IF('System Typical BOM Translator'!$F72&gt;0,'System Typical BOM Translator'!$F72*VLOOKUP('System Typicals @ Industry Std'!$B52,Systems_National_Industry_Standards,10),0))</f>
        <v>0</v>
      </c>
      <c r="F52" s="119">
        <f>IF('System Typical BOM Translator'!$F72&gt;0,'System Typical BOM Translator'!$F72*VLOOKUP('System Typicals @ Industry Std'!$B52,Systems_National_Industry_Standards,12),0)</f>
        <v>0</v>
      </c>
      <c r="G52" s="119">
        <f>IF('System Typical BOM Translator'!$F72&gt;0,'System Typical BOM Translator'!$F72*VLOOKUP('System Typicals @ Industry Std'!$B52,Systems_National_Industry_Standards,13),0)</f>
        <v>0</v>
      </c>
      <c r="H52" s="119">
        <f>IF('System Typical BOM Translator'!$F72&gt;0,'System Typical BOM Translator'!$F72*VLOOKUP('System Typicals @ Industry Std'!$B52,Systems_National_Industry_Standards,15),0)</f>
        <v>0</v>
      </c>
      <c r="I52" s="119">
        <f>IF('System Typical BOM Translator'!$F72&gt;0,'System Typical BOM Translator'!$F72*VLOOKUP('System Typicals @ Industry Std'!$B52,Systems_National_Industry_Standards,16),0)</f>
        <v>0</v>
      </c>
      <c r="J52" s="119">
        <f>IF('System Typical BOM Translator'!$F72&gt;0,'System Typical BOM Translator'!$F72*VLOOKUP('System Typicals @ Industry Std'!$B52,Systems_National_Industry_Standards,8),0)</f>
        <v>0</v>
      </c>
      <c r="K52" s="119">
        <f>IF('System Typical BOM Translator'!$F72&gt;0,'System Typical BOM Translator'!$F72*VLOOKUP('System Typicals @ Industry Std'!$B52,Systems_National_Industry_Standards,7),0)</f>
        <v>0</v>
      </c>
      <c r="L52" s="117"/>
      <c r="M52" s="119">
        <f t="shared" si="18"/>
        <v>0</v>
      </c>
      <c r="N52" s="119">
        <f t="shared" si="19"/>
        <v>0</v>
      </c>
      <c r="O52" s="119">
        <f t="shared" si="20"/>
        <v>0</v>
      </c>
      <c r="P52" s="119">
        <f t="shared" si="21"/>
        <v>0</v>
      </c>
      <c r="Q52" s="119">
        <f t="shared" si="22"/>
        <v>0</v>
      </c>
      <c r="R52" s="119">
        <f t="shared" si="23"/>
        <v>0</v>
      </c>
      <c r="S52" s="121">
        <f t="shared" si="24"/>
        <v>0</v>
      </c>
      <c r="T52" s="121">
        <f t="shared" si="25"/>
        <v>0</v>
      </c>
      <c r="U52" s="117"/>
      <c r="V52" s="175"/>
      <c r="W52" s="175"/>
      <c r="X52" s="175"/>
      <c r="Y52" s="175"/>
      <c r="Z52" s="175"/>
      <c r="AA52" s="175"/>
    </row>
    <row r="53" spans="2:27" x14ac:dyDescent="0.15">
      <c r="B53" s="117">
        <v>12</v>
      </c>
      <c r="C53" s="124" t="s">
        <v>96</v>
      </c>
      <c r="D53" s="119">
        <f>IF(Site_Delivery_Systems="Y",0,IF('System Typical BOM Translator'!$F73&gt;0,'System Typical BOM Translator'!$F73*VLOOKUP('System Typicals @ Industry Std'!$B53,Systems_National_Industry_Standards,9),0))</f>
        <v>0</v>
      </c>
      <c r="E53" s="119">
        <f>IF(Site_Delivery_Systems="Y",0,IF('System Typical BOM Translator'!$F73&gt;0,'System Typical BOM Translator'!$F73*VLOOKUP('System Typicals @ Industry Std'!$B53,Systems_National_Industry_Standards,10),0))</f>
        <v>0</v>
      </c>
      <c r="F53" s="119">
        <f>IF('System Typical BOM Translator'!$F73&gt;0,'System Typical BOM Translator'!$F73*VLOOKUP('System Typicals @ Industry Std'!$B53,Systems_National_Industry_Standards,12),0)</f>
        <v>0</v>
      </c>
      <c r="G53" s="119">
        <f>IF('System Typical BOM Translator'!$F73&gt;0,'System Typical BOM Translator'!$F73*VLOOKUP('System Typicals @ Industry Std'!$B53,Systems_National_Industry_Standards,13),0)</f>
        <v>0</v>
      </c>
      <c r="H53" s="119">
        <f>IF('System Typical BOM Translator'!$F73&gt;0,'System Typical BOM Translator'!$F73*VLOOKUP('System Typicals @ Industry Std'!$B53,Systems_National_Industry_Standards,15),0)</f>
        <v>0</v>
      </c>
      <c r="I53" s="119">
        <f>IF('System Typical BOM Translator'!$F73&gt;0,'System Typical BOM Translator'!$F73*VLOOKUP('System Typicals @ Industry Std'!$B53,Systems_National_Industry_Standards,16),0)</f>
        <v>0</v>
      </c>
      <c r="J53" s="119">
        <f>IF('System Typical BOM Translator'!$F73&gt;0,'System Typical BOM Translator'!$F73*VLOOKUP('System Typicals @ Industry Std'!$B53,Systems_National_Industry_Standards,8),0)</f>
        <v>0</v>
      </c>
      <c r="K53" s="119">
        <f>IF('System Typical BOM Translator'!$F73&gt;0,'System Typical BOM Translator'!$F73*VLOOKUP('System Typicals @ Industry Std'!$B53,Systems_National_Industry_Standards,7),0)</f>
        <v>0</v>
      </c>
      <c r="L53" s="117"/>
      <c r="M53" s="119">
        <f t="shared" si="18"/>
        <v>0</v>
      </c>
      <c r="N53" s="119">
        <f t="shared" si="19"/>
        <v>0</v>
      </c>
      <c r="O53" s="119">
        <f t="shared" si="20"/>
        <v>0</v>
      </c>
      <c r="P53" s="119">
        <f t="shared" si="21"/>
        <v>0</v>
      </c>
      <c r="Q53" s="119">
        <f t="shared" si="22"/>
        <v>0</v>
      </c>
      <c r="R53" s="119">
        <f t="shared" si="23"/>
        <v>0</v>
      </c>
      <c r="S53" s="121">
        <f t="shared" si="24"/>
        <v>0</v>
      </c>
      <c r="T53" s="121">
        <f t="shared" si="25"/>
        <v>0</v>
      </c>
      <c r="U53" s="117"/>
      <c r="V53" s="175"/>
      <c r="W53" s="175"/>
      <c r="X53" s="175"/>
      <c r="Y53" s="175"/>
      <c r="Z53" s="175"/>
      <c r="AA53" s="175"/>
    </row>
    <row r="54" spans="2:27" x14ac:dyDescent="0.15">
      <c r="B54" s="117">
        <v>13</v>
      </c>
      <c r="C54" s="124" t="s">
        <v>97</v>
      </c>
      <c r="D54" s="119">
        <f>IF(Site_Delivery_Systems="Y",0,IF('System Typical BOM Translator'!$F74&gt;0,'System Typical BOM Translator'!$F74*VLOOKUP('System Typicals @ Industry Std'!$B54,Systems_National_Industry_Standards,9),0))</f>
        <v>0</v>
      </c>
      <c r="E54" s="119">
        <f>IF(Site_Delivery_Systems="Y",0,IF('System Typical BOM Translator'!$F74&gt;0,'System Typical BOM Translator'!$F74*VLOOKUP('System Typicals @ Industry Std'!$B54,Systems_National_Industry_Standards,10),0))</f>
        <v>0</v>
      </c>
      <c r="F54" s="119">
        <f>IF('System Typical BOM Translator'!$F74&gt;0,'System Typical BOM Translator'!$F74*VLOOKUP('System Typicals @ Industry Std'!$B54,Systems_National_Industry_Standards,12),0)</f>
        <v>0</v>
      </c>
      <c r="G54" s="119">
        <f>IF('System Typical BOM Translator'!$F74&gt;0,'System Typical BOM Translator'!$F74*VLOOKUP('System Typicals @ Industry Std'!$B54,Systems_National_Industry_Standards,13),0)</f>
        <v>0</v>
      </c>
      <c r="H54" s="119">
        <f>IF('System Typical BOM Translator'!$F74&gt;0,'System Typical BOM Translator'!$F74*VLOOKUP('System Typicals @ Industry Std'!$B54,Systems_National_Industry_Standards,15),0)</f>
        <v>0</v>
      </c>
      <c r="I54" s="119">
        <f>IF('System Typical BOM Translator'!$F74&gt;0,'System Typical BOM Translator'!$F74*VLOOKUP('System Typicals @ Industry Std'!$B54,Systems_National_Industry_Standards,16),0)</f>
        <v>0</v>
      </c>
      <c r="J54" s="119">
        <f>IF('System Typical BOM Translator'!$F74&gt;0,'System Typical BOM Translator'!$F74*VLOOKUP('System Typicals @ Industry Std'!$B54,Systems_National_Industry_Standards,8),0)</f>
        <v>0</v>
      </c>
      <c r="K54" s="119">
        <f>IF('System Typical BOM Translator'!$F74&gt;0,'System Typical BOM Translator'!$F74*VLOOKUP('System Typicals @ Industry Std'!$B54,Systems_National_Industry_Standards,7),0)</f>
        <v>0</v>
      </c>
      <c r="L54" s="117"/>
      <c r="M54" s="119">
        <f t="shared" si="18"/>
        <v>0</v>
      </c>
      <c r="N54" s="119">
        <f t="shared" si="19"/>
        <v>0</v>
      </c>
      <c r="O54" s="119">
        <f t="shared" si="20"/>
        <v>0</v>
      </c>
      <c r="P54" s="119">
        <f t="shared" si="21"/>
        <v>0</v>
      </c>
      <c r="Q54" s="119">
        <f t="shared" si="22"/>
        <v>0</v>
      </c>
      <c r="R54" s="119">
        <f t="shared" si="23"/>
        <v>0</v>
      </c>
      <c r="S54" s="121">
        <f t="shared" si="24"/>
        <v>0</v>
      </c>
      <c r="T54" s="121">
        <f t="shared" si="25"/>
        <v>0</v>
      </c>
      <c r="U54" s="117"/>
      <c r="V54" s="175"/>
      <c r="W54" s="175"/>
      <c r="X54" s="175"/>
      <c r="Y54" s="175"/>
      <c r="Z54" s="175"/>
      <c r="AA54" s="175"/>
    </row>
    <row r="55" spans="2:27" x14ac:dyDescent="0.15">
      <c r="B55" s="117">
        <v>14</v>
      </c>
      <c r="C55" s="124" t="s">
        <v>102</v>
      </c>
      <c r="D55" s="119">
        <f>IF(Site_Delivery_Systems="Y",0,IF('System Typical BOM Translator'!$F75&gt;0,'System Typical BOM Translator'!$F75*VLOOKUP('System Typicals @ Industry Std'!$B55,Systems_National_Industry_Standards,9),0))</f>
        <v>0</v>
      </c>
      <c r="E55" s="119">
        <f>IF(Site_Delivery_Systems="Y",0,IF('System Typical BOM Translator'!$F75&gt;0,'System Typical BOM Translator'!$F75*VLOOKUP('System Typicals @ Industry Std'!$B55,Systems_National_Industry_Standards,10),0))</f>
        <v>0</v>
      </c>
      <c r="F55" s="119">
        <f>IF('System Typical BOM Translator'!$F75&gt;0,'System Typical BOM Translator'!$F75*VLOOKUP('System Typicals @ Industry Std'!$B55,Systems_National_Industry_Standards,12),0)</f>
        <v>0</v>
      </c>
      <c r="G55" s="119">
        <f>IF('System Typical BOM Translator'!$F75&gt;0,'System Typical BOM Translator'!$F75*VLOOKUP('System Typicals @ Industry Std'!$B55,Systems_National_Industry_Standards,13),0)</f>
        <v>0</v>
      </c>
      <c r="H55" s="119">
        <f>IF('System Typical BOM Translator'!$F75&gt;0,'System Typical BOM Translator'!$F75*VLOOKUP('System Typicals @ Industry Std'!$B55,Systems_National_Industry_Standards,15),0)</f>
        <v>0</v>
      </c>
      <c r="I55" s="119">
        <f>IF('System Typical BOM Translator'!$F75&gt;0,'System Typical BOM Translator'!$F75*VLOOKUP('System Typicals @ Industry Std'!$B55,Systems_National_Industry_Standards,16),0)</f>
        <v>0</v>
      </c>
      <c r="J55" s="119">
        <f>IF('System Typical BOM Translator'!$F75&gt;0,'System Typical BOM Translator'!$F75*VLOOKUP('System Typicals @ Industry Std'!$B55,Systems_National_Industry_Standards,8),0)</f>
        <v>0</v>
      </c>
      <c r="K55" s="119">
        <f>IF('System Typical BOM Translator'!$F75&gt;0,'System Typical BOM Translator'!$F75*VLOOKUP('System Typicals @ Industry Std'!$B55,Systems_National_Industry_Standards,7),0)</f>
        <v>0</v>
      </c>
      <c r="L55" s="117"/>
      <c r="M55" s="119">
        <f t="shared" si="18"/>
        <v>0</v>
      </c>
      <c r="N55" s="119">
        <f t="shared" si="19"/>
        <v>0</v>
      </c>
      <c r="O55" s="119">
        <f t="shared" si="20"/>
        <v>0</v>
      </c>
      <c r="P55" s="119">
        <f t="shared" si="21"/>
        <v>0</v>
      </c>
      <c r="Q55" s="119">
        <f t="shared" si="22"/>
        <v>0</v>
      </c>
      <c r="R55" s="119">
        <f t="shared" si="23"/>
        <v>0</v>
      </c>
      <c r="S55" s="121">
        <f t="shared" si="24"/>
        <v>0</v>
      </c>
      <c r="T55" s="121">
        <f t="shared" si="25"/>
        <v>0</v>
      </c>
      <c r="U55" s="117"/>
      <c r="V55" s="175"/>
      <c r="W55" s="175"/>
      <c r="X55" s="175"/>
      <c r="Y55" s="175"/>
      <c r="Z55" s="175"/>
      <c r="AA55" s="175"/>
    </row>
    <row r="56" spans="2:27" ht="14" thickBot="1" x14ac:dyDescent="0.2">
      <c r="C56" s="109" t="s">
        <v>107</v>
      </c>
      <c r="D56" s="125">
        <f t="shared" ref="D56:K56" si="26">SUM(D42:D55)</f>
        <v>0</v>
      </c>
      <c r="E56" s="125">
        <f t="shared" si="26"/>
        <v>0</v>
      </c>
      <c r="F56" s="125">
        <f t="shared" si="26"/>
        <v>0</v>
      </c>
      <c r="G56" s="125">
        <f t="shared" si="26"/>
        <v>0</v>
      </c>
      <c r="H56" s="125">
        <f t="shared" si="26"/>
        <v>0</v>
      </c>
      <c r="I56" s="125">
        <f t="shared" si="26"/>
        <v>0</v>
      </c>
      <c r="J56" s="125">
        <f t="shared" si="26"/>
        <v>0</v>
      </c>
      <c r="K56" s="125">
        <f t="shared" si="26"/>
        <v>0</v>
      </c>
      <c r="M56" s="125">
        <f t="shared" ref="M56:T56" si="27">SUM(M42:M55)</f>
        <v>0</v>
      </c>
      <c r="N56" s="125">
        <f t="shared" si="27"/>
        <v>0</v>
      </c>
      <c r="O56" s="125">
        <f t="shared" si="27"/>
        <v>0</v>
      </c>
      <c r="P56" s="125">
        <f t="shared" si="27"/>
        <v>0</v>
      </c>
      <c r="Q56" s="125">
        <f t="shared" si="27"/>
        <v>0</v>
      </c>
      <c r="R56" s="125">
        <f t="shared" si="27"/>
        <v>0</v>
      </c>
      <c r="S56" s="125">
        <f t="shared" si="27"/>
        <v>0</v>
      </c>
      <c r="T56" s="125">
        <f t="shared" si="27"/>
        <v>0</v>
      </c>
      <c r="U56" s="125">
        <f>T56/950</f>
        <v>0</v>
      </c>
      <c r="V56" s="190">
        <f>IF(Typical_3_Qty="",0,IF(Typical_3_Qty=0,0,SUM(M56:N56)/Typical_3_Qty))</f>
        <v>0</v>
      </c>
      <c r="W56" s="190">
        <f>IF(Typical_3_Qty="",0,IF(Typical_3_Qty=0,0,SUM(O56:P56)/Typical_3_Qty))</f>
        <v>0</v>
      </c>
      <c r="X56" s="190">
        <f>IF(Typical_3_Qty="",0,IF(Typical_3_Qty=0,0,SUM(Q56)/Typical_3_Qty))</f>
        <v>0</v>
      </c>
      <c r="Y56" s="190">
        <f>IF(Typical_3_Qty="",0,IF(Typical_3_Qty=0,0,SUM(R56)/Typical_3_Qty))</f>
        <v>0</v>
      </c>
      <c r="Z56" s="190">
        <f>SUM(W56:Y56)</f>
        <v>0</v>
      </c>
      <c r="AA56" s="190">
        <f>Z56+V56</f>
        <v>0</v>
      </c>
    </row>
    <row r="57" spans="2:27" ht="15" thickTop="1" thickBot="1" x14ac:dyDescent="0.2">
      <c r="O57" s="127"/>
      <c r="P57" s="127"/>
    </row>
    <row r="58" spans="2:27" ht="17" thickBot="1" x14ac:dyDescent="0.25">
      <c r="D58" s="581" t="s">
        <v>126</v>
      </c>
      <c r="E58" s="582"/>
      <c r="F58" s="582"/>
      <c r="G58" s="582"/>
      <c r="H58" s="582"/>
      <c r="I58" s="582"/>
      <c r="J58" s="582"/>
      <c r="K58" s="583"/>
      <c r="M58" s="581" t="s">
        <v>126</v>
      </c>
      <c r="N58" s="582"/>
      <c r="O58" s="582"/>
      <c r="P58" s="582"/>
      <c r="Q58" s="582"/>
      <c r="R58" s="582"/>
      <c r="S58" s="582"/>
      <c r="T58" s="583"/>
    </row>
    <row r="59" spans="2:27" ht="52" x14ac:dyDescent="0.15">
      <c r="C59" s="113" t="s">
        <v>89</v>
      </c>
      <c r="D59" s="114" t="s">
        <v>275</v>
      </c>
      <c r="E59" s="114" t="s">
        <v>276</v>
      </c>
      <c r="F59" s="114" t="s">
        <v>277</v>
      </c>
      <c r="G59" s="114" t="s">
        <v>278</v>
      </c>
      <c r="H59" s="114" t="s">
        <v>285</v>
      </c>
      <c r="I59" s="114" t="s">
        <v>286</v>
      </c>
      <c r="J59" s="114" t="s">
        <v>105</v>
      </c>
      <c r="K59" s="114" t="s">
        <v>104</v>
      </c>
      <c r="M59" s="115" t="s">
        <v>279</v>
      </c>
      <c r="N59" s="115" t="s">
        <v>280</v>
      </c>
      <c r="O59" s="115" t="s">
        <v>281</v>
      </c>
      <c r="P59" s="115" t="s">
        <v>282</v>
      </c>
      <c r="Q59" s="115" t="s">
        <v>283</v>
      </c>
      <c r="R59" s="115" t="s">
        <v>284</v>
      </c>
      <c r="S59" s="114" t="s">
        <v>105</v>
      </c>
      <c r="T59" s="114" t="s">
        <v>104</v>
      </c>
      <c r="V59" s="189" t="s">
        <v>290</v>
      </c>
      <c r="W59" s="189" t="s">
        <v>287</v>
      </c>
      <c r="X59" s="189" t="s">
        <v>289</v>
      </c>
      <c r="Y59" s="189" t="s">
        <v>288</v>
      </c>
      <c r="Z59" s="189" t="s">
        <v>291</v>
      </c>
      <c r="AA59" s="189" t="s">
        <v>291</v>
      </c>
    </row>
    <row r="60" spans="2:27" x14ac:dyDescent="0.15">
      <c r="B60" s="117">
        <v>1</v>
      </c>
      <c r="C60" s="118" t="s">
        <v>165</v>
      </c>
      <c r="D60" s="119">
        <f>IF(Site_Delivery_Systems="Y",0,IF('System Typical BOM Translator'!$G62&gt;0,'System Typical BOM Translator'!$G62*VLOOKUP('System Typicals @ Industry Std'!$B60,Systems_National_Industry_Standards,9),0))</f>
        <v>0</v>
      </c>
      <c r="E60" s="119">
        <f>IF(Site_Delivery_Systems="Y",0,IF('System Typical BOM Translator'!$G62&gt;0,'System Typical BOM Translator'!$G62*VLOOKUP('System Typicals @ Industry Std'!$B60,Systems_National_Industry_Standards,10),0))</f>
        <v>0</v>
      </c>
      <c r="F60" s="119">
        <f>IF('System Typical BOM Translator'!$G62&gt;0,'System Typical BOM Translator'!$G62*VLOOKUP('System Typicals @ Industry Std'!$B60,Systems_National_Industry_Standards,12),0)</f>
        <v>0</v>
      </c>
      <c r="G60" s="119">
        <f>IF('System Typical BOM Translator'!$G62&gt;0,'System Typical BOM Translator'!$G62*VLOOKUP('System Typicals @ Industry Std'!$B60,Systems_National_Industry_Standards,13),0)</f>
        <v>0</v>
      </c>
      <c r="H60" s="119">
        <f>IF('System Typical BOM Translator'!$G62&gt;0,'System Typical BOM Translator'!$G62*VLOOKUP('System Typicals @ Industry Std'!$B60,Systems_National_Industry_Standards,15),0)</f>
        <v>0</v>
      </c>
      <c r="I60" s="119">
        <f>IF('System Typical BOM Translator'!$G62&gt;0,'System Typical BOM Translator'!$G62*VLOOKUP('System Typicals @ Industry Std'!$B60,Systems_National_Industry_Standards,16),0)</f>
        <v>0</v>
      </c>
      <c r="J60" s="119">
        <f>IF('System Typical BOM Translator'!$G62&gt;0,'System Typical BOM Translator'!$G62*VLOOKUP('System Typicals @ Industry Std'!$B60,Systems_National_Industry_Standards,8),0)</f>
        <v>0</v>
      </c>
      <c r="K60" s="119">
        <f>IF('System Typical BOM Translator'!$G62&gt;0,'System Typical BOM Translator'!$G62*VLOOKUP('System Typicals @ Industry Std'!$B60,Systems_National_Industry_Standards,7),0)</f>
        <v>0</v>
      </c>
      <c r="L60" s="120"/>
      <c r="M60" s="119">
        <f t="shared" ref="M60:R60" si="28">D60/60</f>
        <v>0</v>
      </c>
      <c r="N60" s="119">
        <f t="shared" si="28"/>
        <v>0</v>
      </c>
      <c r="O60" s="119">
        <f t="shared" si="28"/>
        <v>0</v>
      </c>
      <c r="P60" s="119">
        <f t="shared" si="28"/>
        <v>0</v>
      </c>
      <c r="Q60" s="119">
        <f t="shared" si="28"/>
        <v>0</v>
      </c>
      <c r="R60" s="119">
        <f t="shared" si="28"/>
        <v>0</v>
      </c>
      <c r="S60" s="121">
        <f>J60</f>
        <v>0</v>
      </c>
      <c r="T60" s="121">
        <f>K60</f>
        <v>0</v>
      </c>
      <c r="U60" s="117"/>
      <c r="V60" s="175"/>
      <c r="W60" s="175"/>
      <c r="X60" s="175"/>
      <c r="Y60" s="175"/>
      <c r="Z60" s="175"/>
      <c r="AA60" s="175"/>
    </row>
    <row r="61" spans="2:27" x14ac:dyDescent="0.15">
      <c r="B61" s="117">
        <v>2</v>
      </c>
      <c r="C61" s="118" t="s">
        <v>166</v>
      </c>
      <c r="D61" s="119">
        <f>IF(Site_Delivery_Systems="Y",0,IF('System Typical BOM Translator'!$G63&gt;0,'System Typical BOM Translator'!$G63*VLOOKUP('System Typicals @ Industry Std'!$B61,Systems_National_Industry_Standards,9),0))</f>
        <v>0</v>
      </c>
      <c r="E61" s="119">
        <f>IF(Site_Delivery_Systems="Y",0,IF('System Typical BOM Translator'!$G63&gt;0,'System Typical BOM Translator'!$G63*VLOOKUP('System Typicals @ Industry Std'!$B61,Systems_National_Industry_Standards,10),0))</f>
        <v>0</v>
      </c>
      <c r="F61" s="119">
        <f>IF('System Typical BOM Translator'!$G63&gt;0,'System Typical BOM Translator'!$G63*VLOOKUP('System Typicals @ Industry Std'!$B61,Systems_National_Industry_Standards,12),0)</f>
        <v>0</v>
      </c>
      <c r="G61" s="119">
        <f>IF('System Typical BOM Translator'!$G63&gt;0,'System Typical BOM Translator'!$G63*VLOOKUP('System Typicals @ Industry Std'!$B61,Systems_National_Industry_Standards,13),0)</f>
        <v>0</v>
      </c>
      <c r="H61" s="119">
        <f>IF('System Typical BOM Translator'!$G63&gt;0,'System Typical BOM Translator'!$G63*VLOOKUP('System Typicals @ Industry Std'!$B61,Systems_National_Industry_Standards,15),0)</f>
        <v>0</v>
      </c>
      <c r="I61" s="119">
        <f>IF('System Typical BOM Translator'!$G63&gt;0,'System Typical BOM Translator'!$G63*VLOOKUP('System Typicals @ Industry Std'!$B61,Systems_National_Industry_Standards,16),0)</f>
        <v>0</v>
      </c>
      <c r="J61" s="119">
        <f>IF('System Typical BOM Translator'!$G63&gt;0,'System Typical BOM Translator'!$G63*VLOOKUP('System Typicals @ Industry Std'!$B61,Systems_National_Industry_Standards,8),0)</f>
        <v>0</v>
      </c>
      <c r="K61" s="119">
        <f>IF('System Typical BOM Translator'!$G63&gt;0,'System Typical BOM Translator'!$G63*VLOOKUP('System Typicals @ Industry Std'!$B61,Systems_National_Industry_Standards,7),0)</f>
        <v>0</v>
      </c>
      <c r="L61" s="117"/>
      <c r="M61" s="119">
        <f t="shared" ref="M61:M73" si="29">D61/60</f>
        <v>0</v>
      </c>
      <c r="N61" s="119">
        <f t="shared" ref="N61:N73" si="30">E61/60</f>
        <v>0</v>
      </c>
      <c r="O61" s="119">
        <f t="shared" ref="O61:O73" si="31">F61/60</f>
        <v>0</v>
      </c>
      <c r="P61" s="119">
        <f t="shared" ref="P61:P73" si="32">G61/60</f>
        <v>0</v>
      </c>
      <c r="Q61" s="119">
        <f t="shared" ref="Q61:Q73" si="33">H61/60</f>
        <v>0</v>
      </c>
      <c r="R61" s="119">
        <f t="shared" ref="R61:R73" si="34">I61/60</f>
        <v>0</v>
      </c>
      <c r="S61" s="121">
        <f t="shared" ref="S61:S73" si="35">J61</f>
        <v>0</v>
      </c>
      <c r="T61" s="121">
        <f t="shared" ref="T61:T73" si="36">K61</f>
        <v>0</v>
      </c>
      <c r="U61" s="117"/>
      <c r="V61" s="175"/>
      <c r="W61" s="175"/>
      <c r="X61" s="175"/>
      <c r="Y61" s="175"/>
      <c r="Z61" s="175"/>
      <c r="AA61" s="175"/>
    </row>
    <row r="62" spans="2:27" x14ac:dyDescent="0.15">
      <c r="B62" s="117">
        <v>3</v>
      </c>
      <c r="C62" s="118" t="s">
        <v>140</v>
      </c>
      <c r="D62" s="119">
        <f>IF(Site_Delivery_Systems="Y",0,IF('System Typical BOM Translator'!$G64&gt;0,'System Typical BOM Translator'!$G64*VLOOKUP('System Typicals @ Industry Std'!$B62,Systems_National_Industry_Standards,9),0))</f>
        <v>0</v>
      </c>
      <c r="E62" s="119">
        <f>IF(Site_Delivery_Systems="Y",0,IF('System Typical BOM Translator'!$G64&gt;0,'System Typical BOM Translator'!$G64*VLOOKUP('System Typicals @ Industry Std'!$B62,Systems_National_Industry_Standards,10),0))</f>
        <v>0</v>
      </c>
      <c r="F62" s="119">
        <f>IF('System Typical BOM Translator'!$G64&gt;0,'System Typical BOM Translator'!$G64*VLOOKUP('System Typicals @ Industry Std'!$B62,Systems_National_Industry_Standards,12),0)</f>
        <v>0</v>
      </c>
      <c r="G62" s="119">
        <f>IF('System Typical BOM Translator'!$G64&gt;0,'System Typical BOM Translator'!$G64*VLOOKUP('System Typicals @ Industry Std'!$B62,Systems_National_Industry_Standards,13),0)</f>
        <v>0</v>
      </c>
      <c r="H62" s="119">
        <f>IF('System Typical BOM Translator'!$G64&gt;0,'System Typical BOM Translator'!$G64*VLOOKUP('System Typicals @ Industry Std'!$B62,Systems_National_Industry_Standards,15),0)</f>
        <v>0</v>
      </c>
      <c r="I62" s="119">
        <f>IF('System Typical BOM Translator'!$G64&gt;0,'System Typical BOM Translator'!$G64*VLOOKUP('System Typicals @ Industry Std'!$B62,Systems_National_Industry_Standards,16),0)</f>
        <v>0</v>
      </c>
      <c r="J62" s="119">
        <f>IF('System Typical BOM Translator'!$G64&gt;0,'System Typical BOM Translator'!$G64*VLOOKUP('System Typicals @ Industry Std'!$B62,Systems_National_Industry_Standards,8),0)</f>
        <v>0</v>
      </c>
      <c r="K62" s="119">
        <f>IF('System Typical BOM Translator'!$G64&gt;0,'System Typical BOM Translator'!$G64*VLOOKUP('System Typicals @ Industry Std'!$B62,Systems_National_Industry_Standards,7),0)</f>
        <v>0</v>
      </c>
      <c r="L62" s="122"/>
      <c r="M62" s="119">
        <f t="shared" si="29"/>
        <v>0</v>
      </c>
      <c r="N62" s="119">
        <f t="shared" si="30"/>
        <v>0</v>
      </c>
      <c r="O62" s="119">
        <f t="shared" si="31"/>
        <v>0</v>
      </c>
      <c r="P62" s="119">
        <f t="shared" si="32"/>
        <v>0</v>
      </c>
      <c r="Q62" s="119">
        <f t="shared" si="33"/>
        <v>0</v>
      </c>
      <c r="R62" s="119">
        <f t="shared" si="34"/>
        <v>0</v>
      </c>
      <c r="S62" s="121">
        <f t="shared" si="35"/>
        <v>0</v>
      </c>
      <c r="T62" s="121">
        <f t="shared" si="36"/>
        <v>0</v>
      </c>
      <c r="U62" s="122"/>
      <c r="V62" s="175"/>
      <c r="W62" s="175"/>
      <c r="X62" s="175"/>
      <c r="Y62" s="175"/>
      <c r="Z62" s="175"/>
      <c r="AA62" s="175"/>
    </row>
    <row r="63" spans="2:27" x14ac:dyDescent="0.15">
      <c r="B63" s="117">
        <v>4</v>
      </c>
      <c r="C63" s="123" t="s">
        <v>168</v>
      </c>
      <c r="D63" s="119">
        <f>IF(Site_Delivery_Systems="Y",0,IF('System Typical BOM Translator'!$G65&gt;0,'System Typical BOM Translator'!$G65*VLOOKUP('System Typicals @ Industry Std'!$B63,Systems_National_Industry_Standards,9),0))</f>
        <v>0</v>
      </c>
      <c r="E63" s="119">
        <f>IF(Site_Delivery_Systems="Y",0,IF('System Typical BOM Translator'!$G65&gt;0,'System Typical BOM Translator'!$G65*VLOOKUP('System Typicals @ Industry Std'!$B63,Systems_National_Industry_Standards,10),0))</f>
        <v>0</v>
      </c>
      <c r="F63" s="119">
        <f>IF('System Typical BOM Translator'!$G65&gt;0,'System Typical BOM Translator'!$G65*VLOOKUP('System Typicals @ Industry Std'!$B63,Systems_National_Industry_Standards,12),0)</f>
        <v>0</v>
      </c>
      <c r="G63" s="119">
        <f>IF('System Typical BOM Translator'!$G65&gt;0,'System Typical BOM Translator'!$G65*VLOOKUP('System Typicals @ Industry Std'!$B63,Systems_National_Industry_Standards,13),0)</f>
        <v>0</v>
      </c>
      <c r="H63" s="119">
        <f>IF('System Typical BOM Translator'!$G65&gt;0,'System Typical BOM Translator'!$G65*VLOOKUP('System Typicals @ Industry Std'!$B63,Systems_National_Industry_Standards,15),0)</f>
        <v>0</v>
      </c>
      <c r="I63" s="119">
        <f>IF('System Typical BOM Translator'!$G65&gt;0,'System Typical BOM Translator'!$G65*VLOOKUP('System Typicals @ Industry Std'!$B63,Systems_National_Industry_Standards,16),0)</f>
        <v>0</v>
      </c>
      <c r="J63" s="119">
        <f>IF('System Typical BOM Translator'!$G65&gt;0,'System Typical BOM Translator'!$G65*VLOOKUP('System Typicals @ Industry Std'!$B63,Systems_National_Industry_Standards,8),0)</f>
        <v>0</v>
      </c>
      <c r="K63" s="119">
        <f>IF('System Typical BOM Translator'!$G65&gt;0,'System Typical BOM Translator'!$G65*VLOOKUP('System Typicals @ Industry Std'!$B63,Systems_National_Industry_Standards,7),0)</f>
        <v>0</v>
      </c>
      <c r="L63" s="122"/>
      <c r="M63" s="119">
        <f t="shared" si="29"/>
        <v>0</v>
      </c>
      <c r="N63" s="119">
        <f t="shared" si="30"/>
        <v>0</v>
      </c>
      <c r="O63" s="119">
        <f t="shared" si="31"/>
        <v>0</v>
      </c>
      <c r="P63" s="119">
        <f t="shared" si="32"/>
        <v>0</v>
      </c>
      <c r="Q63" s="119">
        <f t="shared" si="33"/>
        <v>0</v>
      </c>
      <c r="R63" s="119">
        <f t="shared" si="34"/>
        <v>0</v>
      </c>
      <c r="S63" s="121">
        <f t="shared" si="35"/>
        <v>0</v>
      </c>
      <c r="T63" s="121">
        <f t="shared" si="36"/>
        <v>0</v>
      </c>
      <c r="U63" s="122"/>
      <c r="V63" s="175"/>
      <c r="W63" s="175"/>
      <c r="X63" s="175"/>
      <c r="Y63" s="175"/>
      <c r="Z63" s="175"/>
      <c r="AA63" s="175"/>
    </row>
    <row r="64" spans="2:27" x14ac:dyDescent="0.15">
      <c r="B64" s="117">
        <v>5</v>
      </c>
      <c r="C64" s="124" t="s">
        <v>167</v>
      </c>
      <c r="D64" s="119">
        <f>IF(Site_Delivery_Systems="Y",0,IF('System Typical BOM Translator'!$G66&gt;0,'System Typical BOM Translator'!$G66*VLOOKUP('System Typicals @ Industry Std'!$B64,Systems_National_Industry_Standards,9),0))</f>
        <v>0</v>
      </c>
      <c r="E64" s="119">
        <f>IF(Site_Delivery_Systems="Y",0,IF('System Typical BOM Translator'!$G66&gt;0,'System Typical BOM Translator'!$G66*VLOOKUP('System Typicals @ Industry Std'!$B64,Systems_National_Industry_Standards,10),0))</f>
        <v>0</v>
      </c>
      <c r="F64" s="119">
        <f>IF('System Typical BOM Translator'!$G66&gt;0,'System Typical BOM Translator'!$G66*VLOOKUP('System Typicals @ Industry Std'!$B64,Systems_National_Industry_Standards,12),0)</f>
        <v>0</v>
      </c>
      <c r="G64" s="119">
        <f>IF('System Typical BOM Translator'!$G66&gt;0,'System Typical BOM Translator'!$G66*VLOOKUP('System Typicals @ Industry Std'!$B64,Systems_National_Industry_Standards,13),0)</f>
        <v>0</v>
      </c>
      <c r="H64" s="119">
        <f>IF('System Typical BOM Translator'!$G66&gt;0,'System Typical BOM Translator'!$G66*VLOOKUP('System Typicals @ Industry Std'!$B64,Systems_National_Industry_Standards,15),0)</f>
        <v>0</v>
      </c>
      <c r="I64" s="119">
        <f>IF('System Typical BOM Translator'!$G66&gt;0,'System Typical BOM Translator'!$G66*VLOOKUP('System Typicals @ Industry Std'!$B64,Systems_National_Industry_Standards,16),0)</f>
        <v>0</v>
      </c>
      <c r="J64" s="119">
        <f>IF('System Typical BOM Translator'!$G66&gt;0,'System Typical BOM Translator'!$G66*VLOOKUP('System Typicals @ Industry Std'!$B64,Systems_National_Industry_Standards,8),0)</f>
        <v>0</v>
      </c>
      <c r="K64" s="119">
        <f>IF('System Typical BOM Translator'!$G66&gt;0,'System Typical BOM Translator'!$G66*VLOOKUP('System Typicals @ Industry Std'!$B64,Systems_National_Industry_Standards,7),0)</f>
        <v>0</v>
      </c>
      <c r="L64" s="122"/>
      <c r="M64" s="119">
        <f t="shared" si="29"/>
        <v>0</v>
      </c>
      <c r="N64" s="119">
        <f t="shared" si="30"/>
        <v>0</v>
      </c>
      <c r="O64" s="119">
        <f t="shared" si="31"/>
        <v>0</v>
      </c>
      <c r="P64" s="119">
        <f t="shared" si="32"/>
        <v>0</v>
      </c>
      <c r="Q64" s="119">
        <f t="shared" si="33"/>
        <v>0</v>
      </c>
      <c r="R64" s="119">
        <f t="shared" si="34"/>
        <v>0</v>
      </c>
      <c r="S64" s="121">
        <f t="shared" si="35"/>
        <v>0</v>
      </c>
      <c r="T64" s="121">
        <f t="shared" si="36"/>
        <v>0</v>
      </c>
      <c r="U64" s="122"/>
      <c r="V64" s="175"/>
      <c r="W64" s="175"/>
      <c r="X64" s="175"/>
      <c r="Y64" s="175"/>
      <c r="Z64" s="175"/>
      <c r="AA64" s="175"/>
    </row>
    <row r="65" spans="2:27" x14ac:dyDescent="0.15">
      <c r="B65" s="117">
        <v>6</v>
      </c>
      <c r="C65" s="124" t="s">
        <v>164</v>
      </c>
      <c r="D65" s="119">
        <f>IF(Site_Delivery_Systems="Y",0,IF('System Typical BOM Translator'!$G67&gt;0,'System Typical BOM Translator'!$G67*VLOOKUP('System Typicals @ Industry Std'!$B65,Systems_National_Industry_Standards,9),0))</f>
        <v>0</v>
      </c>
      <c r="E65" s="119">
        <f>IF(Site_Delivery_Systems="Y",0,IF('System Typical BOM Translator'!$G67&gt;0,'System Typical BOM Translator'!$G67*VLOOKUP('System Typicals @ Industry Std'!$B65,Systems_National_Industry_Standards,10),0))</f>
        <v>0</v>
      </c>
      <c r="F65" s="119">
        <f>IF('System Typical BOM Translator'!$G67&gt;0,'System Typical BOM Translator'!$G67*VLOOKUP('System Typicals @ Industry Std'!$B65,Systems_National_Industry_Standards,12),0)</f>
        <v>0</v>
      </c>
      <c r="G65" s="119">
        <f>IF('System Typical BOM Translator'!$G67&gt;0,'System Typical BOM Translator'!$G67*VLOOKUP('System Typicals @ Industry Std'!$B65,Systems_National_Industry_Standards,13),0)</f>
        <v>0</v>
      </c>
      <c r="H65" s="119">
        <f>IF('System Typical BOM Translator'!$G67&gt;0,'System Typical BOM Translator'!$G67*VLOOKUP('System Typicals @ Industry Std'!$B65,Systems_National_Industry_Standards,15),0)</f>
        <v>0</v>
      </c>
      <c r="I65" s="119">
        <f>IF('System Typical BOM Translator'!$G67&gt;0,'System Typical BOM Translator'!$G67*VLOOKUP('System Typicals @ Industry Std'!$B65,Systems_National_Industry_Standards,16),0)</f>
        <v>0</v>
      </c>
      <c r="J65" s="119">
        <f>IF('System Typical BOM Translator'!$G67&gt;0,'System Typical BOM Translator'!$G67*VLOOKUP('System Typicals @ Industry Std'!$B65,Systems_National_Industry_Standards,8),0)</f>
        <v>0</v>
      </c>
      <c r="K65" s="119">
        <f>IF('System Typical BOM Translator'!$G67&gt;0,'System Typical BOM Translator'!$G67*VLOOKUP('System Typicals @ Industry Std'!$B65,Systems_National_Industry_Standards,7),0)</f>
        <v>0</v>
      </c>
      <c r="L65" s="122"/>
      <c r="M65" s="119">
        <f t="shared" si="29"/>
        <v>0</v>
      </c>
      <c r="N65" s="119">
        <f t="shared" si="30"/>
        <v>0</v>
      </c>
      <c r="O65" s="119">
        <f t="shared" si="31"/>
        <v>0</v>
      </c>
      <c r="P65" s="119">
        <f t="shared" si="32"/>
        <v>0</v>
      </c>
      <c r="Q65" s="119">
        <f t="shared" si="33"/>
        <v>0</v>
      </c>
      <c r="R65" s="119">
        <f t="shared" si="34"/>
        <v>0</v>
      </c>
      <c r="S65" s="121">
        <f t="shared" si="35"/>
        <v>0</v>
      </c>
      <c r="T65" s="121">
        <f t="shared" si="36"/>
        <v>0</v>
      </c>
      <c r="U65" s="122"/>
      <c r="V65" s="175"/>
      <c r="W65" s="175"/>
      <c r="X65" s="175"/>
      <c r="Y65" s="175"/>
      <c r="Z65" s="175"/>
      <c r="AA65" s="175"/>
    </row>
    <row r="66" spans="2:27" x14ac:dyDescent="0.15">
      <c r="B66" s="117">
        <v>7</v>
      </c>
      <c r="C66" s="124" t="s">
        <v>94</v>
      </c>
      <c r="D66" s="119">
        <f>IF(Site_Delivery_Systems="Y",0,IF('System Typical BOM Translator'!$G68&gt;0,'System Typical BOM Translator'!$G68*VLOOKUP('System Typicals @ Industry Std'!$B66,Systems_National_Industry_Standards,9),0))</f>
        <v>0</v>
      </c>
      <c r="E66" s="119">
        <f>IF(Site_Delivery_Systems="Y",0,IF('System Typical BOM Translator'!$G68&gt;0,'System Typical BOM Translator'!$G68*VLOOKUP('System Typicals @ Industry Std'!$B66,Systems_National_Industry_Standards,10),0))</f>
        <v>0</v>
      </c>
      <c r="F66" s="119">
        <f>IF('System Typical BOM Translator'!$G68&gt;0,'System Typical BOM Translator'!$G68*VLOOKUP('System Typicals @ Industry Std'!$B66,Systems_National_Industry_Standards,12),0)</f>
        <v>0</v>
      </c>
      <c r="G66" s="119">
        <f>IF('System Typical BOM Translator'!$G68&gt;0,'System Typical BOM Translator'!$G68*VLOOKUP('System Typicals @ Industry Std'!$B66,Systems_National_Industry_Standards,13),0)</f>
        <v>0</v>
      </c>
      <c r="H66" s="119">
        <f>IF('System Typical BOM Translator'!$G68&gt;0,'System Typical BOM Translator'!$G68*VLOOKUP('System Typicals @ Industry Std'!$B66,Systems_National_Industry_Standards,15),0)</f>
        <v>0</v>
      </c>
      <c r="I66" s="119">
        <f>IF('System Typical BOM Translator'!$G68&gt;0,'System Typical BOM Translator'!$G68*VLOOKUP('System Typicals @ Industry Std'!$B66,Systems_National_Industry_Standards,16),0)</f>
        <v>0</v>
      </c>
      <c r="J66" s="119">
        <f>IF('System Typical BOM Translator'!$G68&gt;0,'System Typical BOM Translator'!$G68*VLOOKUP('System Typicals @ Industry Std'!$B66,Systems_National_Industry_Standards,8),0)</f>
        <v>0</v>
      </c>
      <c r="K66" s="119">
        <f>IF('System Typical BOM Translator'!$G68&gt;0,'System Typical BOM Translator'!$G68*VLOOKUP('System Typicals @ Industry Std'!$B66,Systems_National_Industry_Standards,7),0)</f>
        <v>0</v>
      </c>
      <c r="L66" s="122"/>
      <c r="M66" s="119">
        <f t="shared" si="29"/>
        <v>0</v>
      </c>
      <c r="N66" s="119">
        <f t="shared" si="30"/>
        <v>0</v>
      </c>
      <c r="O66" s="119">
        <f t="shared" si="31"/>
        <v>0</v>
      </c>
      <c r="P66" s="119">
        <f t="shared" si="32"/>
        <v>0</v>
      </c>
      <c r="Q66" s="119">
        <f t="shared" si="33"/>
        <v>0</v>
      </c>
      <c r="R66" s="119">
        <f t="shared" si="34"/>
        <v>0</v>
      </c>
      <c r="S66" s="121">
        <f t="shared" si="35"/>
        <v>0</v>
      </c>
      <c r="T66" s="121">
        <f t="shared" si="36"/>
        <v>0</v>
      </c>
      <c r="U66" s="122"/>
      <c r="V66" s="175"/>
      <c r="W66" s="175"/>
      <c r="X66" s="175"/>
      <c r="Y66" s="175"/>
      <c r="Z66" s="175"/>
      <c r="AA66" s="175"/>
    </row>
    <row r="67" spans="2:27" x14ac:dyDescent="0.15">
      <c r="B67" s="117">
        <v>8</v>
      </c>
      <c r="C67" s="124" t="s">
        <v>95</v>
      </c>
      <c r="D67" s="119">
        <f>IF(Site_Delivery_Systems="Y",0,IF('System Typical BOM Translator'!$G69&gt;0,'System Typical BOM Translator'!$G69*VLOOKUP('System Typicals @ Industry Std'!$B67,Systems_National_Industry_Standards,9),0))</f>
        <v>0</v>
      </c>
      <c r="E67" s="119">
        <f>IF(Site_Delivery_Systems="Y",0,IF('System Typical BOM Translator'!$G69&gt;0,'System Typical BOM Translator'!$G69*VLOOKUP('System Typicals @ Industry Std'!$B67,Systems_National_Industry_Standards,10),0))</f>
        <v>0</v>
      </c>
      <c r="F67" s="119">
        <f>IF('System Typical BOM Translator'!$G69&gt;0,'System Typical BOM Translator'!$G69*VLOOKUP('System Typicals @ Industry Std'!$B67,Systems_National_Industry_Standards,12),0)</f>
        <v>0</v>
      </c>
      <c r="G67" s="119">
        <f>IF('System Typical BOM Translator'!$G69&gt;0,'System Typical BOM Translator'!$G69*VLOOKUP('System Typicals @ Industry Std'!$B67,Systems_National_Industry_Standards,13),0)</f>
        <v>0</v>
      </c>
      <c r="H67" s="119">
        <f>IF('System Typical BOM Translator'!$G69&gt;0,'System Typical BOM Translator'!$G69*VLOOKUP('System Typicals @ Industry Std'!$B67,Systems_National_Industry_Standards,15),0)</f>
        <v>0</v>
      </c>
      <c r="I67" s="119">
        <f>IF('System Typical BOM Translator'!$G69&gt;0,'System Typical BOM Translator'!$G69*VLOOKUP('System Typicals @ Industry Std'!$B67,Systems_National_Industry_Standards,16),0)</f>
        <v>0</v>
      </c>
      <c r="J67" s="119">
        <f>IF('System Typical BOM Translator'!$G69&gt;0,'System Typical BOM Translator'!$G69*VLOOKUP('System Typicals @ Industry Std'!$B67,Systems_National_Industry_Standards,8),0)</f>
        <v>0</v>
      </c>
      <c r="K67" s="119">
        <f>IF('System Typical BOM Translator'!$G69&gt;0,'System Typical BOM Translator'!$G69*VLOOKUP('System Typicals @ Industry Std'!$B67,Systems_National_Industry_Standards,7),0)</f>
        <v>0</v>
      </c>
      <c r="L67" s="117"/>
      <c r="M67" s="119">
        <f t="shared" si="29"/>
        <v>0</v>
      </c>
      <c r="N67" s="119">
        <f t="shared" si="30"/>
        <v>0</v>
      </c>
      <c r="O67" s="119">
        <f t="shared" si="31"/>
        <v>0</v>
      </c>
      <c r="P67" s="119">
        <f t="shared" si="32"/>
        <v>0</v>
      </c>
      <c r="Q67" s="119">
        <f t="shared" si="33"/>
        <v>0</v>
      </c>
      <c r="R67" s="119">
        <f t="shared" si="34"/>
        <v>0</v>
      </c>
      <c r="S67" s="121">
        <f t="shared" si="35"/>
        <v>0</v>
      </c>
      <c r="T67" s="121">
        <f t="shared" si="36"/>
        <v>0</v>
      </c>
      <c r="U67" s="117"/>
      <c r="V67" s="175"/>
      <c r="W67" s="175"/>
      <c r="X67" s="175"/>
      <c r="Y67" s="175"/>
      <c r="Z67" s="175"/>
      <c r="AA67" s="175"/>
    </row>
    <row r="68" spans="2:27" x14ac:dyDescent="0.15">
      <c r="B68" s="117">
        <v>9</v>
      </c>
      <c r="C68" s="124" t="s">
        <v>142</v>
      </c>
      <c r="D68" s="119">
        <f>IF(Site_Delivery_Systems="Y",0,IF('System Typical BOM Translator'!$G70&gt;0,'System Typical BOM Translator'!$G70*VLOOKUP('System Typicals @ Industry Std'!$B68,Systems_National_Industry_Standards,9),0))</f>
        <v>0</v>
      </c>
      <c r="E68" s="119">
        <f>IF(Site_Delivery_Systems="Y",0,IF('System Typical BOM Translator'!$G70&gt;0,'System Typical BOM Translator'!$G70*VLOOKUP('System Typicals @ Industry Std'!$B68,Systems_National_Industry_Standards,10),0))</f>
        <v>0</v>
      </c>
      <c r="F68" s="119">
        <f>IF('System Typical BOM Translator'!$G70&gt;0,'System Typical BOM Translator'!$G70*VLOOKUP('System Typicals @ Industry Std'!$B68,Systems_National_Industry_Standards,12),0)</f>
        <v>0</v>
      </c>
      <c r="G68" s="119">
        <f>IF('System Typical BOM Translator'!$G70&gt;0,'System Typical BOM Translator'!$G70*VLOOKUP('System Typicals @ Industry Std'!$B68,Systems_National_Industry_Standards,13),0)</f>
        <v>0</v>
      </c>
      <c r="H68" s="119">
        <f>IF('System Typical BOM Translator'!$G70&gt;0,'System Typical BOM Translator'!$G70*VLOOKUP('System Typicals @ Industry Std'!$B68,Systems_National_Industry_Standards,15),0)</f>
        <v>0</v>
      </c>
      <c r="I68" s="119">
        <f>IF('System Typical BOM Translator'!$G70&gt;0,'System Typical BOM Translator'!$G70*VLOOKUP('System Typicals @ Industry Std'!$B68,Systems_National_Industry_Standards,16),0)</f>
        <v>0</v>
      </c>
      <c r="J68" s="119">
        <f>IF('System Typical BOM Translator'!$G70&gt;0,'System Typical BOM Translator'!$G70*VLOOKUP('System Typicals @ Industry Std'!$B68,Systems_National_Industry_Standards,8),0)</f>
        <v>0</v>
      </c>
      <c r="K68" s="119">
        <f>IF('System Typical BOM Translator'!$G70&gt;0,'System Typical BOM Translator'!$G70*VLOOKUP('System Typicals @ Industry Std'!$B68,Systems_National_Industry_Standards,7),0)</f>
        <v>0</v>
      </c>
      <c r="L68" s="117"/>
      <c r="M68" s="119">
        <f t="shared" si="29"/>
        <v>0</v>
      </c>
      <c r="N68" s="119">
        <f t="shared" si="30"/>
        <v>0</v>
      </c>
      <c r="O68" s="119">
        <f t="shared" si="31"/>
        <v>0</v>
      </c>
      <c r="P68" s="119">
        <f t="shared" si="32"/>
        <v>0</v>
      </c>
      <c r="Q68" s="119">
        <f t="shared" si="33"/>
        <v>0</v>
      </c>
      <c r="R68" s="119">
        <f t="shared" si="34"/>
        <v>0</v>
      </c>
      <c r="S68" s="121">
        <f t="shared" si="35"/>
        <v>0</v>
      </c>
      <c r="T68" s="121">
        <f t="shared" si="36"/>
        <v>0</v>
      </c>
      <c r="U68" s="117"/>
      <c r="V68" s="175"/>
      <c r="W68" s="175"/>
      <c r="X68" s="175"/>
      <c r="Y68" s="175"/>
      <c r="Z68" s="175"/>
      <c r="AA68" s="175"/>
    </row>
    <row r="69" spans="2:27" x14ac:dyDescent="0.15">
      <c r="B69" s="117">
        <v>10</v>
      </c>
      <c r="C69" s="124" t="s">
        <v>138</v>
      </c>
      <c r="D69" s="119">
        <f>IF(Site_Delivery_Systems="Y",0,IF('System Typical BOM Translator'!$G71&gt;0,'System Typical BOM Translator'!$G71*VLOOKUP('System Typicals @ Industry Std'!$B69,Systems_National_Industry_Standards,9),0))</f>
        <v>0</v>
      </c>
      <c r="E69" s="119">
        <f>IF(Site_Delivery_Systems="Y",0,IF('System Typical BOM Translator'!$G71&gt;0,'System Typical BOM Translator'!$G71*VLOOKUP('System Typicals @ Industry Std'!$B69,Systems_National_Industry_Standards,10),0))</f>
        <v>0</v>
      </c>
      <c r="F69" s="119">
        <f>IF('System Typical BOM Translator'!$G71&gt;0,'System Typical BOM Translator'!$G71*VLOOKUP('System Typicals @ Industry Std'!$B69,Systems_National_Industry_Standards,12),0)</f>
        <v>0</v>
      </c>
      <c r="G69" s="119">
        <f>IF('System Typical BOM Translator'!$G71&gt;0,'System Typical BOM Translator'!$G71*VLOOKUP('System Typicals @ Industry Std'!$B69,Systems_National_Industry_Standards,13),0)</f>
        <v>0</v>
      </c>
      <c r="H69" s="119">
        <f>IF('System Typical BOM Translator'!$G71&gt;0,'System Typical BOM Translator'!$G71*VLOOKUP('System Typicals @ Industry Std'!$B69,Systems_National_Industry_Standards,15),0)</f>
        <v>0</v>
      </c>
      <c r="I69" s="119">
        <f>IF('System Typical BOM Translator'!$G71&gt;0,'System Typical BOM Translator'!$G71*VLOOKUP('System Typicals @ Industry Std'!$B69,Systems_National_Industry_Standards,16),0)</f>
        <v>0</v>
      </c>
      <c r="J69" s="119">
        <f>IF('System Typical BOM Translator'!$G71&gt;0,'System Typical BOM Translator'!$G71*VLOOKUP('System Typicals @ Industry Std'!$B69,Systems_National_Industry_Standards,8),0)</f>
        <v>0</v>
      </c>
      <c r="K69" s="119">
        <f>IF('System Typical BOM Translator'!$G71&gt;0,'System Typical BOM Translator'!$G71*VLOOKUP('System Typicals @ Industry Std'!$B69,Systems_National_Industry_Standards,7),0)</f>
        <v>0</v>
      </c>
      <c r="L69" s="117"/>
      <c r="M69" s="119">
        <f t="shared" si="29"/>
        <v>0</v>
      </c>
      <c r="N69" s="119">
        <f t="shared" si="30"/>
        <v>0</v>
      </c>
      <c r="O69" s="119">
        <f t="shared" si="31"/>
        <v>0</v>
      </c>
      <c r="P69" s="119">
        <f t="shared" si="32"/>
        <v>0</v>
      </c>
      <c r="Q69" s="119">
        <f t="shared" si="33"/>
        <v>0</v>
      </c>
      <c r="R69" s="119">
        <f t="shared" si="34"/>
        <v>0</v>
      </c>
      <c r="S69" s="121">
        <f t="shared" si="35"/>
        <v>0</v>
      </c>
      <c r="T69" s="121">
        <f t="shared" si="36"/>
        <v>0</v>
      </c>
      <c r="U69" s="117"/>
      <c r="V69" s="175"/>
      <c r="W69" s="175"/>
      <c r="X69" s="175"/>
      <c r="Y69" s="175"/>
      <c r="Z69" s="175"/>
      <c r="AA69" s="175"/>
    </row>
    <row r="70" spans="2:27" x14ac:dyDescent="0.15">
      <c r="B70" s="117">
        <v>11</v>
      </c>
      <c r="C70" s="124" t="s">
        <v>141</v>
      </c>
      <c r="D70" s="119">
        <f>IF(Site_Delivery_Systems="Y",0,IF('System Typical BOM Translator'!$G72&gt;0,'System Typical BOM Translator'!$G72*VLOOKUP('System Typicals @ Industry Std'!$B70,Systems_National_Industry_Standards,9),0))</f>
        <v>0</v>
      </c>
      <c r="E70" s="119">
        <f>IF(Site_Delivery_Systems="Y",0,IF('System Typical BOM Translator'!$G72&gt;0,'System Typical BOM Translator'!$G72*VLOOKUP('System Typicals @ Industry Std'!$B70,Systems_National_Industry_Standards,10),0))</f>
        <v>0</v>
      </c>
      <c r="F70" s="119">
        <f>IF('System Typical BOM Translator'!$G72&gt;0,'System Typical BOM Translator'!$G72*VLOOKUP('System Typicals @ Industry Std'!$B70,Systems_National_Industry_Standards,12),0)</f>
        <v>0</v>
      </c>
      <c r="G70" s="119">
        <f>IF('System Typical BOM Translator'!$G72&gt;0,'System Typical BOM Translator'!$G72*VLOOKUP('System Typicals @ Industry Std'!$B70,Systems_National_Industry_Standards,13),0)</f>
        <v>0</v>
      </c>
      <c r="H70" s="119">
        <f>IF('System Typical BOM Translator'!$G72&gt;0,'System Typical BOM Translator'!$G72*VLOOKUP('System Typicals @ Industry Std'!$B70,Systems_National_Industry_Standards,15),0)</f>
        <v>0</v>
      </c>
      <c r="I70" s="119">
        <f>IF('System Typical BOM Translator'!$G72&gt;0,'System Typical BOM Translator'!$G72*VLOOKUP('System Typicals @ Industry Std'!$B70,Systems_National_Industry_Standards,16),0)</f>
        <v>0</v>
      </c>
      <c r="J70" s="119">
        <f>IF('System Typical BOM Translator'!$G72&gt;0,'System Typical BOM Translator'!$G72*VLOOKUP('System Typicals @ Industry Std'!$B70,Systems_National_Industry_Standards,8),0)</f>
        <v>0</v>
      </c>
      <c r="K70" s="119">
        <f>IF('System Typical BOM Translator'!$G72&gt;0,'System Typical BOM Translator'!$G72*VLOOKUP('System Typicals @ Industry Std'!$B70,Systems_National_Industry_Standards,7),0)</f>
        <v>0</v>
      </c>
      <c r="L70" s="117"/>
      <c r="M70" s="119">
        <f t="shared" si="29"/>
        <v>0</v>
      </c>
      <c r="N70" s="119">
        <f t="shared" si="30"/>
        <v>0</v>
      </c>
      <c r="O70" s="119">
        <f t="shared" si="31"/>
        <v>0</v>
      </c>
      <c r="P70" s="119">
        <f t="shared" si="32"/>
        <v>0</v>
      </c>
      <c r="Q70" s="119">
        <f t="shared" si="33"/>
        <v>0</v>
      </c>
      <c r="R70" s="119">
        <f t="shared" si="34"/>
        <v>0</v>
      </c>
      <c r="S70" s="121">
        <f t="shared" si="35"/>
        <v>0</v>
      </c>
      <c r="T70" s="121">
        <f t="shared" si="36"/>
        <v>0</v>
      </c>
      <c r="U70" s="117"/>
      <c r="V70" s="175"/>
      <c r="W70" s="175"/>
      <c r="X70" s="175"/>
      <c r="Y70" s="175"/>
      <c r="Z70" s="175"/>
      <c r="AA70" s="175"/>
    </row>
    <row r="71" spans="2:27" x14ac:dyDescent="0.15">
      <c r="B71" s="117">
        <v>12</v>
      </c>
      <c r="C71" s="124" t="s">
        <v>96</v>
      </c>
      <c r="D71" s="119">
        <f>IF(Site_Delivery_Systems="Y",0,IF('System Typical BOM Translator'!$G73&gt;0,'System Typical BOM Translator'!$G73*VLOOKUP('System Typicals @ Industry Std'!$B71,Systems_National_Industry_Standards,9),0))</f>
        <v>0</v>
      </c>
      <c r="E71" s="119">
        <f>IF(Site_Delivery_Systems="Y",0,IF('System Typical BOM Translator'!$G73&gt;0,'System Typical BOM Translator'!$G73*VLOOKUP('System Typicals @ Industry Std'!$B71,Systems_National_Industry_Standards,10),0))</f>
        <v>0</v>
      </c>
      <c r="F71" s="119">
        <f>IF('System Typical BOM Translator'!$G73&gt;0,'System Typical BOM Translator'!$G73*VLOOKUP('System Typicals @ Industry Std'!$B71,Systems_National_Industry_Standards,12),0)</f>
        <v>0</v>
      </c>
      <c r="G71" s="119">
        <f>IF('System Typical BOM Translator'!$G73&gt;0,'System Typical BOM Translator'!$G73*VLOOKUP('System Typicals @ Industry Std'!$B71,Systems_National_Industry_Standards,13),0)</f>
        <v>0</v>
      </c>
      <c r="H71" s="119">
        <f>IF('System Typical BOM Translator'!$G73&gt;0,'System Typical BOM Translator'!$G73*VLOOKUP('System Typicals @ Industry Std'!$B71,Systems_National_Industry_Standards,15),0)</f>
        <v>0</v>
      </c>
      <c r="I71" s="119">
        <f>IF('System Typical BOM Translator'!$G73&gt;0,'System Typical BOM Translator'!$G73*VLOOKUP('System Typicals @ Industry Std'!$B71,Systems_National_Industry_Standards,16),0)</f>
        <v>0</v>
      </c>
      <c r="J71" s="119">
        <f>IF('System Typical BOM Translator'!$G73&gt;0,'System Typical BOM Translator'!$G73*VLOOKUP('System Typicals @ Industry Std'!$B71,Systems_National_Industry_Standards,8),0)</f>
        <v>0</v>
      </c>
      <c r="K71" s="119">
        <f>IF('System Typical BOM Translator'!$G73&gt;0,'System Typical BOM Translator'!$G73*VLOOKUP('System Typicals @ Industry Std'!$B71,Systems_National_Industry_Standards,7),0)</f>
        <v>0</v>
      </c>
      <c r="L71" s="117"/>
      <c r="M71" s="119">
        <f t="shared" si="29"/>
        <v>0</v>
      </c>
      <c r="N71" s="119">
        <f t="shared" si="30"/>
        <v>0</v>
      </c>
      <c r="O71" s="119">
        <f t="shared" si="31"/>
        <v>0</v>
      </c>
      <c r="P71" s="119">
        <f t="shared" si="32"/>
        <v>0</v>
      </c>
      <c r="Q71" s="119">
        <f t="shared" si="33"/>
        <v>0</v>
      </c>
      <c r="R71" s="119">
        <f t="shared" si="34"/>
        <v>0</v>
      </c>
      <c r="S71" s="121">
        <f t="shared" si="35"/>
        <v>0</v>
      </c>
      <c r="T71" s="121">
        <f t="shared" si="36"/>
        <v>0</v>
      </c>
      <c r="U71" s="117"/>
      <c r="V71" s="175"/>
      <c r="W71" s="175"/>
      <c r="X71" s="175"/>
      <c r="Y71" s="175"/>
      <c r="Z71" s="175"/>
      <c r="AA71" s="175"/>
    </row>
    <row r="72" spans="2:27" x14ac:dyDescent="0.15">
      <c r="B72" s="117">
        <v>13</v>
      </c>
      <c r="C72" s="124" t="s">
        <v>97</v>
      </c>
      <c r="D72" s="119">
        <f>IF(Site_Delivery_Systems="Y",0,IF('System Typical BOM Translator'!$G74&gt;0,'System Typical BOM Translator'!$G74*VLOOKUP('System Typicals @ Industry Std'!$B72,Systems_National_Industry_Standards,9),0))</f>
        <v>0</v>
      </c>
      <c r="E72" s="119">
        <f>IF(Site_Delivery_Systems="Y",0,IF('System Typical BOM Translator'!$G74&gt;0,'System Typical BOM Translator'!$G74*VLOOKUP('System Typicals @ Industry Std'!$B72,Systems_National_Industry_Standards,10),0))</f>
        <v>0</v>
      </c>
      <c r="F72" s="119">
        <f>IF('System Typical BOM Translator'!$G74&gt;0,'System Typical BOM Translator'!$G74*VLOOKUP('System Typicals @ Industry Std'!$B72,Systems_National_Industry_Standards,12),0)</f>
        <v>0</v>
      </c>
      <c r="G72" s="119">
        <f>IF('System Typical BOM Translator'!$G74&gt;0,'System Typical BOM Translator'!$G74*VLOOKUP('System Typicals @ Industry Std'!$B72,Systems_National_Industry_Standards,13),0)</f>
        <v>0</v>
      </c>
      <c r="H72" s="119">
        <f>IF('System Typical BOM Translator'!$G74&gt;0,'System Typical BOM Translator'!$G74*VLOOKUP('System Typicals @ Industry Std'!$B72,Systems_National_Industry_Standards,15),0)</f>
        <v>0</v>
      </c>
      <c r="I72" s="119">
        <f>IF('System Typical BOM Translator'!$G74&gt;0,'System Typical BOM Translator'!$G74*VLOOKUP('System Typicals @ Industry Std'!$B72,Systems_National_Industry_Standards,16),0)</f>
        <v>0</v>
      </c>
      <c r="J72" s="119">
        <f>IF('System Typical BOM Translator'!$G74&gt;0,'System Typical BOM Translator'!$G74*VLOOKUP('System Typicals @ Industry Std'!$B72,Systems_National_Industry_Standards,8),0)</f>
        <v>0</v>
      </c>
      <c r="K72" s="119">
        <f>IF('System Typical BOM Translator'!$G74&gt;0,'System Typical BOM Translator'!$G74*VLOOKUP('System Typicals @ Industry Std'!$B72,Systems_National_Industry_Standards,7),0)</f>
        <v>0</v>
      </c>
      <c r="L72" s="117"/>
      <c r="M72" s="119">
        <f t="shared" si="29"/>
        <v>0</v>
      </c>
      <c r="N72" s="119">
        <f t="shared" si="30"/>
        <v>0</v>
      </c>
      <c r="O72" s="119">
        <f t="shared" si="31"/>
        <v>0</v>
      </c>
      <c r="P72" s="119">
        <f t="shared" si="32"/>
        <v>0</v>
      </c>
      <c r="Q72" s="119">
        <f t="shared" si="33"/>
        <v>0</v>
      </c>
      <c r="R72" s="119">
        <f t="shared" si="34"/>
        <v>0</v>
      </c>
      <c r="S72" s="121">
        <f t="shared" si="35"/>
        <v>0</v>
      </c>
      <c r="T72" s="121">
        <f t="shared" si="36"/>
        <v>0</v>
      </c>
      <c r="U72" s="117"/>
      <c r="V72" s="175"/>
      <c r="W72" s="175"/>
      <c r="X72" s="175"/>
      <c r="Y72" s="175"/>
      <c r="Z72" s="175"/>
      <c r="AA72" s="175"/>
    </row>
    <row r="73" spans="2:27" x14ac:dyDescent="0.15">
      <c r="B73" s="117">
        <v>14</v>
      </c>
      <c r="C73" s="124" t="s">
        <v>102</v>
      </c>
      <c r="D73" s="119">
        <f>IF(Site_Delivery_Systems="Y",0,IF('System Typical BOM Translator'!$G75&gt;0,'System Typical BOM Translator'!$G75*VLOOKUP('System Typicals @ Industry Std'!$B73,Systems_National_Industry_Standards,9),0))</f>
        <v>0</v>
      </c>
      <c r="E73" s="119">
        <f>IF(Site_Delivery_Systems="Y",0,IF('System Typical BOM Translator'!$G75&gt;0,'System Typical BOM Translator'!$G75*VLOOKUP('System Typicals @ Industry Std'!$B73,Systems_National_Industry_Standards,10),0))</f>
        <v>0</v>
      </c>
      <c r="F73" s="119">
        <f>IF('System Typical BOM Translator'!$G75&gt;0,'System Typical BOM Translator'!$G75*VLOOKUP('System Typicals @ Industry Std'!$B73,Systems_National_Industry_Standards,12),0)</f>
        <v>0</v>
      </c>
      <c r="G73" s="119">
        <f>IF('System Typical BOM Translator'!$G75&gt;0,'System Typical BOM Translator'!$G75*VLOOKUP('System Typicals @ Industry Std'!$B73,Systems_National_Industry_Standards,13),0)</f>
        <v>0</v>
      </c>
      <c r="H73" s="119">
        <f>IF('System Typical BOM Translator'!$G75&gt;0,'System Typical BOM Translator'!$G75*VLOOKUP('System Typicals @ Industry Std'!$B73,Systems_National_Industry_Standards,15),0)</f>
        <v>0</v>
      </c>
      <c r="I73" s="119">
        <f>IF('System Typical BOM Translator'!$G75&gt;0,'System Typical BOM Translator'!$G75*VLOOKUP('System Typicals @ Industry Std'!$B73,Systems_National_Industry_Standards,16),0)</f>
        <v>0</v>
      </c>
      <c r="J73" s="119">
        <f>IF('System Typical BOM Translator'!$G75&gt;0,'System Typical BOM Translator'!$G75*VLOOKUP('System Typicals @ Industry Std'!$B73,Systems_National_Industry_Standards,8),0)</f>
        <v>0</v>
      </c>
      <c r="K73" s="119">
        <f>IF('System Typical BOM Translator'!$G75&gt;0,'System Typical BOM Translator'!$G75*VLOOKUP('System Typicals @ Industry Std'!$B73,Systems_National_Industry_Standards,7),0)</f>
        <v>0</v>
      </c>
      <c r="L73" s="117"/>
      <c r="M73" s="119">
        <f t="shared" si="29"/>
        <v>0</v>
      </c>
      <c r="N73" s="119">
        <f t="shared" si="30"/>
        <v>0</v>
      </c>
      <c r="O73" s="119">
        <f t="shared" si="31"/>
        <v>0</v>
      </c>
      <c r="P73" s="119">
        <f t="shared" si="32"/>
        <v>0</v>
      </c>
      <c r="Q73" s="119">
        <f t="shared" si="33"/>
        <v>0</v>
      </c>
      <c r="R73" s="119">
        <f t="shared" si="34"/>
        <v>0</v>
      </c>
      <c r="S73" s="121">
        <f t="shared" si="35"/>
        <v>0</v>
      </c>
      <c r="T73" s="121">
        <f t="shared" si="36"/>
        <v>0</v>
      </c>
      <c r="U73" s="117"/>
      <c r="V73" s="175"/>
      <c r="W73" s="175"/>
      <c r="X73" s="175"/>
      <c r="Y73" s="175"/>
      <c r="Z73" s="175"/>
      <c r="AA73" s="175"/>
    </row>
    <row r="74" spans="2:27" ht="14" thickBot="1" x14ac:dyDescent="0.2">
      <c r="C74" s="109" t="s">
        <v>107</v>
      </c>
      <c r="D74" s="125">
        <f t="shared" ref="D74:K74" si="37">SUM(D60:D73)</f>
        <v>0</v>
      </c>
      <c r="E74" s="125">
        <f t="shared" si="37"/>
        <v>0</v>
      </c>
      <c r="F74" s="125">
        <f t="shared" si="37"/>
        <v>0</v>
      </c>
      <c r="G74" s="125">
        <f t="shared" si="37"/>
        <v>0</v>
      </c>
      <c r="H74" s="125">
        <f t="shared" si="37"/>
        <v>0</v>
      </c>
      <c r="I74" s="125">
        <f t="shared" si="37"/>
        <v>0</v>
      </c>
      <c r="J74" s="125">
        <f t="shared" si="37"/>
        <v>0</v>
      </c>
      <c r="K74" s="125">
        <f t="shared" si="37"/>
        <v>0</v>
      </c>
      <c r="M74" s="125">
        <f t="shared" ref="M74:T74" si="38">SUM(M60:M73)</f>
        <v>0</v>
      </c>
      <c r="N74" s="125">
        <f t="shared" si="38"/>
        <v>0</v>
      </c>
      <c r="O74" s="125">
        <f t="shared" si="38"/>
        <v>0</v>
      </c>
      <c r="P74" s="125">
        <f t="shared" si="38"/>
        <v>0</v>
      </c>
      <c r="Q74" s="125">
        <f t="shared" si="38"/>
        <v>0</v>
      </c>
      <c r="R74" s="125">
        <f t="shared" si="38"/>
        <v>0</v>
      </c>
      <c r="S74" s="125">
        <f t="shared" si="38"/>
        <v>0</v>
      </c>
      <c r="T74" s="125">
        <f t="shared" si="38"/>
        <v>0</v>
      </c>
      <c r="U74" s="125">
        <f>T74/950</f>
        <v>0</v>
      </c>
      <c r="V74" s="190">
        <f>IF(Typical_4_Qty="",0,IF(Typical_4_Qty=0,0,SUM(M74:N74)/Typical_4_Qty))</f>
        <v>0</v>
      </c>
      <c r="W74" s="190">
        <f>IF(Typical_4_Qty="",0,IF(Typical_4_Qty=0,0,SUM(O74:P74)/Typical_4_Qty))</f>
        <v>0</v>
      </c>
      <c r="X74" s="190">
        <f>IF(Typical_4_Qty="",0,IF(Typical_4_Qty=0,0,SUM(Q74)/Typical_4_Qty))</f>
        <v>0</v>
      </c>
      <c r="Y74" s="190">
        <f>IF(Typical_4_Qty="",0,IF(Typical_4_Qty=0,0,SUM(R74)/Typical_4_Qty))</f>
        <v>0</v>
      </c>
      <c r="Z74" s="190">
        <f>SUM(W74:Y74)</f>
        <v>0</v>
      </c>
      <c r="AA74" s="190">
        <f>Z74+V74</f>
        <v>0</v>
      </c>
    </row>
    <row r="75" spans="2:27" ht="15" thickTop="1" thickBot="1" x14ac:dyDescent="0.2"/>
    <row r="76" spans="2:27" ht="17" thickBot="1" x14ac:dyDescent="0.25">
      <c r="D76" s="581" t="s">
        <v>127</v>
      </c>
      <c r="E76" s="582"/>
      <c r="F76" s="582"/>
      <c r="G76" s="582"/>
      <c r="H76" s="582"/>
      <c r="I76" s="582"/>
      <c r="J76" s="582"/>
      <c r="K76" s="583"/>
      <c r="M76" s="581" t="s">
        <v>127</v>
      </c>
      <c r="N76" s="582"/>
      <c r="O76" s="582"/>
      <c r="P76" s="582"/>
      <c r="Q76" s="582"/>
      <c r="R76" s="582"/>
      <c r="S76" s="582"/>
      <c r="T76" s="583"/>
    </row>
    <row r="77" spans="2:27" ht="52" x14ac:dyDescent="0.15">
      <c r="C77" s="113" t="s">
        <v>90</v>
      </c>
      <c r="D77" s="114" t="s">
        <v>275</v>
      </c>
      <c r="E77" s="114" t="s">
        <v>276</v>
      </c>
      <c r="F77" s="114" t="s">
        <v>277</v>
      </c>
      <c r="G77" s="114" t="s">
        <v>278</v>
      </c>
      <c r="H77" s="114" t="s">
        <v>285</v>
      </c>
      <c r="I77" s="114" t="s">
        <v>286</v>
      </c>
      <c r="J77" s="114" t="s">
        <v>105</v>
      </c>
      <c r="K77" s="114" t="s">
        <v>104</v>
      </c>
      <c r="M77" s="115" t="s">
        <v>279</v>
      </c>
      <c r="N77" s="115" t="s">
        <v>280</v>
      </c>
      <c r="O77" s="115" t="s">
        <v>281</v>
      </c>
      <c r="P77" s="115" t="s">
        <v>282</v>
      </c>
      <c r="Q77" s="115" t="s">
        <v>283</v>
      </c>
      <c r="R77" s="115" t="s">
        <v>284</v>
      </c>
      <c r="S77" s="114" t="s">
        <v>105</v>
      </c>
      <c r="T77" s="114" t="s">
        <v>104</v>
      </c>
      <c r="V77" s="189" t="s">
        <v>290</v>
      </c>
      <c r="W77" s="189" t="s">
        <v>287</v>
      </c>
      <c r="X77" s="189" t="s">
        <v>289</v>
      </c>
      <c r="Y77" s="189" t="s">
        <v>288</v>
      </c>
      <c r="Z77" s="189" t="s">
        <v>291</v>
      </c>
      <c r="AA77" s="189" t="s">
        <v>291</v>
      </c>
    </row>
    <row r="78" spans="2:27" x14ac:dyDescent="0.15">
      <c r="B78" s="117">
        <v>1</v>
      </c>
      <c r="C78" s="118" t="s">
        <v>165</v>
      </c>
      <c r="D78" s="119">
        <f>IF(Site_Delivery_Systems="Y",0,IF('System Typical BOM Translator'!$H62&gt;0,'System Typical BOM Translator'!$H62*VLOOKUP('System Typicals @ Industry Std'!$B78,Systems_National_Industry_Standards,9),0))</f>
        <v>0</v>
      </c>
      <c r="E78" s="119">
        <f>IF(Site_Delivery_Systems="Y",0,IF('System Typical BOM Translator'!$H62&gt;0,'System Typical BOM Translator'!$H62*VLOOKUP('System Typicals @ Industry Std'!$B78,Systems_National_Industry_Standards,10),0))</f>
        <v>0</v>
      </c>
      <c r="F78" s="119">
        <f>IF('System Typical BOM Translator'!$H62&gt;0,'System Typical BOM Translator'!$H62*VLOOKUP('System Typicals @ Industry Std'!$B78,Systems_National_Industry_Standards,12),0)</f>
        <v>0</v>
      </c>
      <c r="G78" s="119">
        <f>IF('System Typical BOM Translator'!$H62&gt;0,'System Typical BOM Translator'!$H62*VLOOKUP('System Typicals @ Industry Std'!$B78,Systems_National_Industry_Standards,13),0)</f>
        <v>0</v>
      </c>
      <c r="H78" s="119">
        <f>IF('System Typical BOM Translator'!$H62&gt;0,'System Typical BOM Translator'!$H62*VLOOKUP('System Typicals @ Industry Std'!$B78,Systems_National_Industry_Standards,15),0)</f>
        <v>0</v>
      </c>
      <c r="I78" s="119">
        <f>IF('System Typical BOM Translator'!$H62&gt;0,'System Typical BOM Translator'!$H62*VLOOKUP('System Typicals @ Industry Std'!$B78,Systems_National_Industry_Standards,16),0)</f>
        <v>0</v>
      </c>
      <c r="J78" s="119">
        <f>IF('System Typical BOM Translator'!$H62&gt;0,'System Typical BOM Translator'!$H62*VLOOKUP('System Typicals @ Industry Std'!$B78,Systems_National_Industry_Standards,8),0)</f>
        <v>0</v>
      </c>
      <c r="K78" s="119">
        <f>IF('System Typical BOM Translator'!$H62&gt;0,'System Typical BOM Translator'!$H62*VLOOKUP('System Typicals @ Industry Std'!$B78,Systems_National_Industry_Standards,7),0)</f>
        <v>0</v>
      </c>
      <c r="L78" s="120"/>
      <c r="M78" s="119">
        <f t="shared" ref="M78:R78" si="39">D78/60</f>
        <v>0</v>
      </c>
      <c r="N78" s="119">
        <f t="shared" si="39"/>
        <v>0</v>
      </c>
      <c r="O78" s="119">
        <f t="shared" si="39"/>
        <v>0</v>
      </c>
      <c r="P78" s="119">
        <f t="shared" si="39"/>
        <v>0</v>
      </c>
      <c r="Q78" s="119">
        <f t="shared" si="39"/>
        <v>0</v>
      </c>
      <c r="R78" s="119">
        <f t="shared" si="39"/>
        <v>0</v>
      </c>
      <c r="S78" s="121">
        <f>J78</f>
        <v>0</v>
      </c>
      <c r="T78" s="121">
        <f>K78</f>
        <v>0</v>
      </c>
      <c r="U78" s="117"/>
      <c r="V78" s="175"/>
      <c r="W78" s="175"/>
      <c r="X78" s="175"/>
      <c r="Y78" s="175"/>
      <c r="Z78" s="175"/>
      <c r="AA78" s="175"/>
    </row>
    <row r="79" spans="2:27" x14ac:dyDescent="0.15">
      <c r="B79" s="117">
        <v>2</v>
      </c>
      <c r="C79" s="118" t="s">
        <v>166</v>
      </c>
      <c r="D79" s="119">
        <f>IF(Site_Delivery_Systems="Y",0,IF('System Typical BOM Translator'!$H63&gt;0,'System Typical BOM Translator'!$H63*VLOOKUP('System Typicals @ Industry Std'!$B79,Systems_National_Industry_Standards,9),0))</f>
        <v>0</v>
      </c>
      <c r="E79" s="119">
        <f>IF(Site_Delivery_Systems="Y",0,IF('System Typical BOM Translator'!$H63&gt;0,'System Typical BOM Translator'!$H63*VLOOKUP('System Typicals @ Industry Std'!$B79,Systems_National_Industry_Standards,10),0))</f>
        <v>0</v>
      </c>
      <c r="F79" s="119">
        <f>IF('System Typical BOM Translator'!$H63&gt;0,'System Typical BOM Translator'!$H63*VLOOKUP('System Typicals @ Industry Std'!$B79,Systems_National_Industry_Standards,12),0)</f>
        <v>0</v>
      </c>
      <c r="G79" s="119">
        <f>IF('System Typical BOM Translator'!$H63&gt;0,'System Typical BOM Translator'!$H63*VLOOKUP('System Typicals @ Industry Std'!$B79,Systems_National_Industry_Standards,13),0)</f>
        <v>0</v>
      </c>
      <c r="H79" s="119">
        <f>IF('System Typical BOM Translator'!$H63&gt;0,'System Typical BOM Translator'!$H63*VLOOKUP('System Typicals @ Industry Std'!$B79,Systems_National_Industry_Standards,15),0)</f>
        <v>0</v>
      </c>
      <c r="I79" s="119">
        <f>IF('System Typical BOM Translator'!$H63&gt;0,'System Typical BOM Translator'!$H63*VLOOKUP('System Typicals @ Industry Std'!$B79,Systems_National_Industry_Standards,16),0)</f>
        <v>0</v>
      </c>
      <c r="J79" s="119">
        <f>IF('System Typical BOM Translator'!$H63&gt;0,'System Typical BOM Translator'!$H63*VLOOKUP('System Typicals @ Industry Std'!$B79,Systems_National_Industry_Standards,8),0)</f>
        <v>0</v>
      </c>
      <c r="K79" s="119">
        <f>IF('System Typical BOM Translator'!$H63&gt;0,'System Typical BOM Translator'!$H63*VLOOKUP('System Typicals @ Industry Std'!$B79,Systems_National_Industry_Standards,7),0)</f>
        <v>0</v>
      </c>
      <c r="L79" s="117"/>
      <c r="M79" s="119">
        <f t="shared" ref="M79:M91" si="40">D79/60</f>
        <v>0</v>
      </c>
      <c r="N79" s="119">
        <f t="shared" ref="N79:N91" si="41">E79/60</f>
        <v>0</v>
      </c>
      <c r="O79" s="119">
        <f t="shared" ref="O79:O91" si="42">F79/60</f>
        <v>0</v>
      </c>
      <c r="P79" s="119">
        <f t="shared" ref="P79:P91" si="43">G79/60</f>
        <v>0</v>
      </c>
      <c r="Q79" s="119">
        <f t="shared" ref="Q79:Q91" si="44">H79/60</f>
        <v>0</v>
      </c>
      <c r="R79" s="119">
        <f t="shared" ref="R79:R91" si="45">I79/60</f>
        <v>0</v>
      </c>
      <c r="S79" s="121">
        <f t="shared" ref="S79:S91" si="46">J79</f>
        <v>0</v>
      </c>
      <c r="T79" s="121">
        <f t="shared" ref="T79:T91" si="47">K79</f>
        <v>0</v>
      </c>
      <c r="U79" s="117"/>
      <c r="V79" s="175"/>
      <c r="W79" s="175"/>
      <c r="X79" s="175"/>
      <c r="Y79" s="175"/>
      <c r="Z79" s="175"/>
      <c r="AA79" s="175"/>
    </row>
    <row r="80" spans="2:27" x14ac:dyDescent="0.15">
      <c r="B80" s="117">
        <v>3</v>
      </c>
      <c r="C80" s="118" t="s">
        <v>140</v>
      </c>
      <c r="D80" s="119">
        <f>IF(Site_Delivery_Systems="Y",0,IF('System Typical BOM Translator'!$H64&gt;0,'System Typical BOM Translator'!$H64*VLOOKUP('System Typicals @ Industry Std'!$B80,Systems_National_Industry_Standards,9),0))</f>
        <v>0</v>
      </c>
      <c r="E80" s="119">
        <f>IF(Site_Delivery_Systems="Y",0,IF('System Typical BOM Translator'!$H64&gt;0,'System Typical BOM Translator'!$H64*VLOOKUP('System Typicals @ Industry Std'!$B80,Systems_National_Industry_Standards,10),0))</f>
        <v>0</v>
      </c>
      <c r="F80" s="119">
        <f>IF('System Typical BOM Translator'!$H64&gt;0,'System Typical BOM Translator'!$H64*VLOOKUP('System Typicals @ Industry Std'!$B80,Systems_National_Industry_Standards,12),0)</f>
        <v>0</v>
      </c>
      <c r="G80" s="119">
        <f>IF('System Typical BOM Translator'!$H64&gt;0,'System Typical BOM Translator'!$H64*VLOOKUP('System Typicals @ Industry Std'!$B80,Systems_National_Industry_Standards,13),0)</f>
        <v>0</v>
      </c>
      <c r="H80" s="119">
        <f>IF('System Typical BOM Translator'!$H64&gt;0,'System Typical BOM Translator'!$H64*VLOOKUP('System Typicals @ Industry Std'!$B80,Systems_National_Industry_Standards,15),0)</f>
        <v>0</v>
      </c>
      <c r="I80" s="119">
        <f>IF('System Typical BOM Translator'!$H64&gt;0,'System Typical BOM Translator'!$H64*VLOOKUP('System Typicals @ Industry Std'!$B80,Systems_National_Industry_Standards,16),0)</f>
        <v>0</v>
      </c>
      <c r="J80" s="119">
        <f>IF('System Typical BOM Translator'!$H64&gt;0,'System Typical BOM Translator'!$H64*VLOOKUP('System Typicals @ Industry Std'!$B80,Systems_National_Industry_Standards,8),0)</f>
        <v>0</v>
      </c>
      <c r="K80" s="119">
        <f>IF('System Typical BOM Translator'!$H64&gt;0,'System Typical BOM Translator'!$H64*VLOOKUP('System Typicals @ Industry Std'!$B80,Systems_National_Industry_Standards,7),0)</f>
        <v>0</v>
      </c>
      <c r="L80" s="122"/>
      <c r="M80" s="119">
        <f t="shared" si="40"/>
        <v>0</v>
      </c>
      <c r="N80" s="119">
        <f t="shared" si="41"/>
        <v>0</v>
      </c>
      <c r="O80" s="119">
        <f t="shared" si="42"/>
        <v>0</v>
      </c>
      <c r="P80" s="119">
        <f t="shared" si="43"/>
        <v>0</v>
      </c>
      <c r="Q80" s="119">
        <f t="shared" si="44"/>
        <v>0</v>
      </c>
      <c r="R80" s="119">
        <f t="shared" si="45"/>
        <v>0</v>
      </c>
      <c r="S80" s="121">
        <f t="shared" si="46"/>
        <v>0</v>
      </c>
      <c r="T80" s="121">
        <f t="shared" si="47"/>
        <v>0</v>
      </c>
      <c r="U80" s="122"/>
      <c r="V80" s="175"/>
      <c r="W80" s="175"/>
      <c r="X80" s="175"/>
      <c r="Y80" s="175"/>
      <c r="Z80" s="175"/>
      <c r="AA80" s="175"/>
    </row>
    <row r="81" spans="2:27" x14ac:dyDescent="0.15">
      <c r="B81" s="117">
        <v>4</v>
      </c>
      <c r="C81" s="123" t="s">
        <v>168</v>
      </c>
      <c r="D81" s="119">
        <f>IF(Site_Delivery_Systems="Y",0,IF('System Typical BOM Translator'!$H65&gt;0,'System Typical BOM Translator'!$H65*VLOOKUP('System Typicals @ Industry Std'!$B81,Systems_National_Industry_Standards,9),0))</f>
        <v>0</v>
      </c>
      <c r="E81" s="119">
        <f>IF(Site_Delivery_Systems="Y",0,IF('System Typical BOM Translator'!$H65&gt;0,'System Typical BOM Translator'!$H65*VLOOKUP('System Typicals @ Industry Std'!$B81,Systems_National_Industry_Standards,10),0))</f>
        <v>0</v>
      </c>
      <c r="F81" s="119">
        <f>IF('System Typical BOM Translator'!$H65&gt;0,'System Typical BOM Translator'!$H65*VLOOKUP('System Typicals @ Industry Std'!$B81,Systems_National_Industry_Standards,12),0)</f>
        <v>0</v>
      </c>
      <c r="G81" s="119">
        <f>IF('System Typical BOM Translator'!$H65&gt;0,'System Typical BOM Translator'!$H65*VLOOKUP('System Typicals @ Industry Std'!$B81,Systems_National_Industry_Standards,13),0)</f>
        <v>0</v>
      </c>
      <c r="H81" s="119">
        <f>IF('System Typical BOM Translator'!$H65&gt;0,'System Typical BOM Translator'!$H65*VLOOKUP('System Typicals @ Industry Std'!$B81,Systems_National_Industry_Standards,15),0)</f>
        <v>0</v>
      </c>
      <c r="I81" s="119">
        <f>IF('System Typical BOM Translator'!$H65&gt;0,'System Typical BOM Translator'!$H65*VLOOKUP('System Typicals @ Industry Std'!$B81,Systems_National_Industry_Standards,16),0)</f>
        <v>0</v>
      </c>
      <c r="J81" s="119">
        <f>IF('System Typical BOM Translator'!$H65&gt;0,'System Typical BOM Translator'!$H65*VLOOKUP('System Typicals @ Industry Std'!$B81,Systems_National_Industry_Standards,8),0)</f>
        <v>0</v>
      </c>
      <c r="K81" s="119">
        <f>IF('System Typical BOM Translator'!$H65&gt;0,'System Typical BOM Translator'!$H65*VLOOKUP('System Typicals @ Industry Std'!$B81,Systems_National_Industry_Standards,7),0)</f>
        <v>0</v>
      </c>
      <c r="L81" s="122"/>
      <c r="M81" s="119">
        <f t="shared" si="40"/>
        <v>0</v>
      </c>
      <c r="N81" s="119">
        <f t="shared" si="41"/>
        <v>0</v>
      </c>
      <c r="O81" s="119">
        <f t="shared" si="42"/>
        <v>0</v>
      </c>
      <c r="P81" s="119">
        <f t="shared" si="43"/>
        <v>0</v>
      </c>
      <c r="Q81" s="119">
        <f t="shared" si="44"/>
        <v>0</v>
      </c>
      <c r="R81" s="119">
        <f t="shared" si="45"/>
        <v>0</v>
      </c>
      <c r="S81" s="121">
        <f t="shared" si="46"/>
        <v>0</v>
      </c>
      <c r="T81" s="121">
        <f t="shared" si="47"/>
        <v>0</v>
      </c>
      <c r="U81" s="122"/>
      <c r="V81" s="175"/>
      <c r="W81" s="175"/>
      <c r="X81" s="175"/>
      <c r="Y81" s="175"/>
      <c r="Z81" s="175"/>
      <c r="AA81" s="175"/>
    </row>
    <row r="82" spans="2:27" x14ac:dyDescent="0.15">
      <c r="B82" s="117">
        <v>5</v>
      </c>
      <c r="C82" s="124" t="s">
        <v>167</v>
      </c>
      <c r="D82" s="119">
        <f>IF(Site_Delivery_Systems="Y",0,IF('System Typical BOM Translator'!$H66&gt;0,'System Typical BOM Translator'!$H66*VLOOKUP('System Typicals @ Industry Std'!$B82,Systems_National_Industry_Standards,9),0))</f>
        <v>0</v>
      </c>
      <c r="E82" s="119">
        <f>IF(Site_Delivery_Systems="Y",0,IF('System Typical BOM Translator'!$H66&gt;0,'System Typical BOM Translator'!$H66*VLOOKUP('System Typicals @ Industry Std'!$B82,Systems_National_Industry_Standards,10),0))</f>
        <v>0</v>
      </c>
      <c r="F82" s="119">
        <f>IF('System Typical BOM Translator'!$H66&gt;0,'System Typical BOM Translator'!$H66*VLOOKUP('System Typicals @ Industry Std'!$B82,Systems_National_Industry_Standards,12),0)</f>
        <v>0</v>
      </c>
      <c r="G82" s="119">
        <f>IF('System Typical BOM Translator'!$H66&gt;0,'System Typical BOM Translator'!$H66*VLOOKUP('System Typicals @ Industry Std'!$B82,Systems_National_Industry_Standards,13),0)</f>
        <v>0</v>
      </c>
      <c r="H82" s="119">
        <f>IF('System Typical BOM Translator'!$H66&gt;0,'System Typical BOM Translator'!$H66*VLOOKUP('System Typicals @ Industry Std'!$B82,Systems_National_Industry_Standards,15),0)</f>
        <v>0</v>
      </c>
      <c r="I82" s="119">
        <f>IF('System Typical BOM Translator'!$H66&gt;0,'System Typical BOM Translator'!$H66*VLOOKUP('System Typicals @ Industry Std'!$B82,Systems_National_Industry_Standards,16),0)</f>
        <v>0</v>
      </c>
      <c r="J82" s="119">
        <f>IF('System Typical BOM Translator'!$H66&gt;0,'System Typical BOM Translator'!$H66*VLOOKUP('System Typicals @ Industry Std'!$B82,Systems_National_Industry_Standards,8),0)</f>
        <v>0</v>
      </c>
      <c r="K82" s="119">
        <f>IF('System Typical BOM Translator'!$H66&gt;0,'System Typical BOM Translator'!$H66*VLOOKUP('System Typicals @ Industry Std'!$B82,Systems_National_Industry_Standards,7),0)</f>
        <v>0</v>
      </c>
      <c r="L82" s="122"/>
      <c r="M82" s="119">
        <f t="shared" si="40"/>
        <v>0</v>
      </c>
      <c r="N82" s="119">
        <f t="shared" si="41"/>
        <v>0</v>
      </c>
      <c r="O82" s="119">
        <f t="shared" si="42"/>
        <v>0</v>
      </c>
      <c r="P82" s="119">
        <f t="shared" si="43"/>
        <v>0</v>
      </c>
      <c r="Q82" s="119">
        <f t="shared" si="44"/>
        <v>0</v>
      </c>
      <c r="R82" s="119">
        <f t="shared" si="45"/>
        <v>0</v>
      </c>
      <c r="S82" s="121">
        <f t="shared" si="46"/>
        <v>0</v>
      </c>
      <c r="T82" s="121">
        <f t="shared" si="47"/>
        <v>0</v>
      </c>
      <c r="U82" s="122"/>
      <c r="V82" s="175"/>
      <c r="W82" s="175"/>
      <c r="X82" s="175"/>
      <c r="Y82" s="175"/>
      <c r="Z82" s="175"/>
      <c r="AA82" s="175"/>
    </row>
    <row r="83" spans="2:27" x14ac:dyDescent="0.15">
      <c r="B83" s="117">
        <v>6</v>
      </c>
      <c r="C83" s="124" t="s">
        <v>164</v>
      </c>
      <c r="D83" s="119">
        <f>IF(Site_Delivery_Systems="Y",0,IF('System Typical BOM Translator'!$H67&gt;0,'System Typical BOM Translator'!$H67*VLOOKUP('System Typicals @ Industry Std'!$B83,Systems_National_Industry_Standards,9),0))</f>
        <v>0</v>
      </c>
      <c r="E83" s="119">
        <f>IF(Site_Delivery_Systems="Y",0,IF('System Typical BOM Translator'!$H67&gt;0,'System Typical BOM Translator'!$H67*VLOOKUP('System Typicals @ Industry Std'!$B83,Systems_National_Industry_Standards,10),0))</f>
        <v>0</v>
      </c>
      <c r="F83" s="119">
        <f>IF('System Typical BOM Translator'!$H67&gt;0,'System Typical BOM Translator'!$H67*VLOOKUP('System Typicals @ Industry Std'!$B83,Systems_National_Industry_Standards,12),0)</f>
        <v>0</v>
      </c>
      <c r="G83" s="119">
        <f>IF('System Typical BOM Translator'!$H67&gt;0,'System Typical BOM Translator'!$H67*VLOOKUP('System Typicals @ Industry Std'!$B83,Systems_National_Industry_Standards,13),0)</f>
        <v>0</v>
      </c>
      <c r="H83" s="119">
        <f>IF('System Typical BOM Translator'!$H67&gt;0,'System Typical BOM Translator'!$H67*VLOOKUP('System Typicals @ Industry Std'!$B83,Systems_National_Industry_Standards,15),0)</f>
        <v>0</v>
      </c>
      <c r="I83" s="119">
        <f>IF('System Typical BOM Translator'!$H67&gt;0,'System Typical BOM Translator'!$H67*VLOOKUP('System Typicals @ Industry Std'!$B83,Systems_National_Industry_Standards,16),0)</f>
        <v>0</v>
      </c>
      <c r="J83" s="119">
        <f>IF('System Typical BOM Translator'!$H67&gt;0,'System Typical BOM Translator'!$H67*VLOOKUP('System Typicals @ Industry Std'!$B83,Systems_National_Industry_Standards,8),0)</f>
        <v>0</v>
      </c>
      <c r="K83" s="119">
        <f>IF('System Typical BOM Translator'!$H67&gt;0,'System Typical BOM Translator'!$H67*VLOOKUP('System Typicals @ Industry Std'!$B83,Systems_National_Industry_Standards,7),0)</f>
        <v>0</v>
      </c>
      <c r="L83" s="122"/>
      <c r="M83" s="119">
        <f t="shared" si="40"/>
        <v>0</v>
      </c>
      <c r="N83" s="119">
        <f t="shared" si="41"/>
        <v>0</v>
      </c>
      <c r="O83" s="119">
        <f t="shared" si="42"/>
        <v>0</v>
      </c>
      <c r="P83" s="119">
        <f t="shared" si="43"/>
        <v>0</v>
      </c>
      <c r="Q83" s="119">
        <f t="shared" si="44"/>
        <v>0</v>
      </c>
      <c r="R83" s="119">
        <f t="shared" si="45"/>
        <v>0</v>
      </c>
      <c r="S83" s="121">
        <f t="shared" si="46"/>
        <v>0</v>
      </c>
      <c r="T83" s="121">
        <f t="shared" si="47"/>
        <v>0</v>
      </c>
      <c r="U83" s="122"/>
      <c r="V83" s="175"/>
      <c r="W83" s="175"/>
      <c r="X83" s="175"/>
      <c r="Y83" s="175"/>
      <c r="Z83" s="175"/>
      <c r="AA83" s="175"/>
    </row>
    <row r="84" spans="2:27" x14ac:dyDescent="0.15">
      <c r="B84" s="117">
        <v>7</v>
      </c>
      <c r="C84" s="124" t="s">
        <v>94</v>
      </c>
      <c r="D84" s="119">
        <f>IF(Site_Delivery_Systems="Y",0,IF('System Typical BOM Translator'!$H68&gt;0,'System Typical BOM Translator'!$H68*VLOOKUP('System Typicals @ Industry Std'!$B84,Systems_National_Industry_Standards,9),0))</f>
        <v>0</v>
      </c>
      <c r="E84" s="119">
        <f>IF(Site_Delivery_Systems="Y",0,IF('System Typical BOM Translator'!$H68&gt;0,'System Typical BOM Translator'!$H68*VLOOKUP('System Typicals @ Industry Std'!$B84,Systems_National_Industry_Standards,10),0))</f>
        <v>0</v>
      </c>
      <c r="F84" s="119">
        <f>IF('System Typical BOM Translator'!$H68&gt;0,'System Typical BOM Translator'!$H68*VLOOKUP('System Typicals @ Industry Std'!$B84,Systems_National_Industry_Standards,12),0)</f>
        <v>0</v>
      </c>
      <c r="G84" s="119">
        <f>IF('System Typical BOM Translator'!$H68&gt;0,'System Typical BOM Translator'!$H68*VLOOKUP('System Typicals @ Industry Std'!$B84,Systems_National_Industry_Standards,13),0)</f>
        <v>0</v>
      </c>
      <c r="H84" s="119">
        <f>IF('System Typical BOM Translator'!$H68&gt;0,'System Typical BOM Translator'!$H68*VLOOKUP('System Typicals @ Industry Std'!$B84,Systems_National_Industry_Standards,15),0)</f>
        <v>0</v>
      </c>
      <c r="I84" s="119">
        <f>IF('System Typical BOM Translator'!$H68&gt;0,'System Typical BOM Translator'!$H68*VLOOKUP('System Typicals @ Industry Std'!$B84,Systems_National_Industry_Standards,16),0)</f>
        <v>0</v>
      </c>
      <c r="J84" s="119">
        <f>IF('System Typical BOM Translator'!$H68&gt;0,'System Typical BOM Translator'!$H68*VLOOKUP('System Typicals @ Industry Std'!$B84,Systems_National_Industry_Standards,8),0)</f>
        <v>0</v>
      </c>
      <c r="K84" s="119">
        <f>IF('System Typical BOM Translator'!$H68&gt;0,'System Typical BOM Translator'!$H68*VLOOKUP('System Typicals @ Industry Std'!$B84,Systems_National_Industry_Standards,7),0)</f>
        <v>0</v>
      </c>
      <c r="L84" s="122"/>
      <c r="M84" s="119">
        <f t="shared" si="40"/>
        <v>0</v>
      </c>
      <c r="N84" s="119">
        <f t="shared" si="41"/>
        <v>0</v>
      </c>
      <c r="O84" s="119">
        <f t="shared" si="42"/>
        <v>0</v>
      </c>
      <c r="P84" s="119">
        <f t="shared" si="43"/>
        <v>0</v>
      </c>
      <c r="Q84" s="119">
        <f t="shared" si="44"/>
        <v>0</v>
      </c>
      <c r="R84" s="119">
        <f t="shared" si="45"/>
        <v>0</v>
      </c>
      <c r="S84" s="121">
        <f t="shared" si="46"/>
        <v>0</v>
      </c>
      <c r="T84" s="121">
        <f t="shared" si="47"/>
        <v>0</v>
      </c>
      <c r="U84" s="122"/>
      <c r="V84" s="175"/>
      <c r="W84" s="175"/>
      <c r="X84" s="175"/>
      <c r="Y84" s="175"/>
      <c r="Z84" s="175"/>
      <c r="AA84" s="175"/>
    </row>
    <row r="85" spans="2:27" x14ac:dyDescent="0.15">
      <c r="B85" s="117">
        <v>8</v>
      </c>
      <c r="C85" s="124" t="s">
        <v>95</v>
      </c>
      <c r="D85" s="119">
        <f>IF(Site_Delivery_Systems="Y",0,IF('System Typical BOM Translator'!$H69&gt;0,'System Typical BOM Translator'!$H69*VLOOKUP('System Typicals @ Industry Std'!$B85,Systems_National_Industry_Standards,9),0))</f>
        <v>0</v>
      </c>
      <c r="E85" s="119">
        <f>IF(Site_Delivery_Systems="Y",0,IF('System Typical BOM Translator'!$H69&gt;0,'System Typical BOM Translator'!$H69*VLOOKUP('System Typicals @ Industry Std'!$B85,Systems_National_Industry_Standards,10),0))</f>
        <v>0</v>
      </c>
      <c r="F85" s="119">
        <f>IF('System Typical BOM Translator'!$H69&gt;0,'System Typical BOM Translator'!$H69*VLOOKUP('System Typicals @ Industry Std'!$B85,Systems_National_Industry_Standards,12),0)</f>
        <v>0</v>
      </c>
      <c r="G85" s="119">
        <f>IF('System Typical BOM Translator'!$H69&gt;0,'System Typical BOM Translator'!$H69*VLOOKUP('System Typicals @ Industry Std'!$B85,Systems_National_Industry_Standards,13),0)</f>
        <v>0</v>
      </c>
      <c r="H85" s="119">
        <f>IF('System Typical BOM Translator'!$H69&gt;0,'System Typical BOM Translator'!$H69*VLOOKUP('System Typicals @ Industry Std'!$B85,Systems_National_Industry_Standards,15),0)</f>
        <v>0</v>
      </c>
      <c r="I85" s="119">
        <f>IF('System Typical BOM Translator'!$H69&gt;0,'System Typical BOM Translator'!$H69*VLOOKUP('System Typicals @ Industry Std'!$B85,Systems_National_Industry_Standards,16),0)</f>
        <v>0</v>
      </c>
      <c r="J85" s="119">
        <f>IF('System Typical BOM Translator'!$H69&gt;0,'System Typical BOM Translator'!$H69*VLOOKUP('System Typicals @ Industry Std'!$B85,Systems_National_Industry_Standards,8),0)</f>
        <v>0</v>
      </c>
      <c r="K85" s="119">
        <f>IF('System Typical BOM Translator'!$H69&gt;0,'System Typical BOM Translator'!$H69*VLOOKUP('System Typicals @ Industry Std'!$B85,Systems_National_Industry_Standards,7),0)</f>
        <v>0</v>
      </c>
      <c r="L85" s="117"/>
      <c r="M85" s="119">
        <f t="shared" si="40"/>
        <v>0</v>
      </c>
      <c r="N85" s="119">
        <f t="shared" si="41"/>
        <v>0</v>
      </c>
      <c r="O85" s="119">
        <f t="shared" si="42"/>
        <v>0</v>
      </c>
      <c r="P85" s="119">
        <f t="shared" si="43"/>
        <v>0</v>
      </c>
      <c r="Q85" s="119">
        <f t="shared" si="44"/>
        <v>0</v>
      </c>
      <c r="R85" s="119">
        <f t="shared" si="45"/>
        <v>0</v>
      </c>
      <c r="S85" s="121">
        <f t="shared" si="46"/>
        <v>0</v>
      </c>
      <c r="T85" s="121">
        <f t="shared" si="47"/>
        <v>0</v>
      </c>
      <c r="U85" s="117"/>
      <c r="V85" s="175"/>
      <c r="W85" s="175"/>
      <c r="X85" s="175"/>
      <c r="Y85" s="175"/>
      <c r="Z85" s="175"/>
      <c r="AA85" s="175"/>
    </row>
    <row r="86" spans="2:27" x14ac:dyDescent="0.15">
      <c r="B86" s="117">
        <v>9</v>
      </c>
      <c r="C86" s="124" t="s">
        <v>142</v>
      </c>
      <c r="D86" s="119">
        <f>IF(Site_Delivery_Systems="Y",0,IF('System Typical BOM Translator'!$H70&gt;0,'System Typical BOM Translator'!$H70*VLOOKUP('System Typicals @ Industry Std'!$B86,Systems_National_Industry_Standards,9),0))</f>
        <v>0</v>
      </c>
      <c r="E86" s="119">
        <f>IF(Site_Delivery_Systems="Y",0,IF('System Typical BOM Translator'!$H70&gt;0,'System Typical BOM Translator'!$H70*VLOOKUP('System Typicals @ Industry Std'!$B86,Systems_National_Industry_Standards,10),0))</f>
        <v>0</v>
      </c>
      <c r="F86" s="119">
        <f>IF('System Typical BOM Translator'!$H70&gt;0,'System Typical BOM Translator'!$H70*VLOOKUP('System Typicals @ Industry Std'!$B86,Systems_National_Industry_Standards,12),0)</f>
        <v>0</v>
      </c>
      <c r="G86" s="119">
        <f>IF('System Typical BOM Translator'!$H70&gt;0,'System Typical BOM Translator'!$H70*VLOOKUP('System Typicals @ Industry Std'!$B86,Systems_National_Industry_Standards,13),0)</f>
        <v>0</v>
      </c>
      <c r="H86" s="119">
        <f>IF('System Typical BOM Translator'!$H70&gt;0,'System Typical BOM Translator'!$H70*VLOOKUP('System Typicals @ Industry Std'!$B86,Systems_National_Industry_Standards,15),0)</f>
        <v>0</v>
      </c>
      <c r="I86" s="119">
        <f>IF('System Typical BOM Translator'!$H70&gt;0,'System Typical BOM Translator'!$H70*VLOOKUP('System Typicals @ Industry Std'!$B86,Systems_National_Industry_Standards,16),0)</f>
        <v>0</v>
      </c>
      <c r="J86" s="119">
        <f>IF('System Typical BOM Translator'!$H70&gt;0,'System Typical BOM Translator'!$H70*VLOOKUP('System Typicals @ Industry Std'!$B86,Systems_National_Industry_Standards,8),0)</f>
        <v>0</v>
      </c>
      <c r="K86" s="119">
        <f>IF('System Typical BOM Translator'!$H70&gt;0,'System Typical BOM Translator'!$H70*VLOOKUP('System Typicals @ Industry Std'!$B86,Systems_National_Industry_Standards,7),0)</f>
        <v>0</v>
      </c>
      <c r="L86" s="117"/>
      <c r="M86" s="119">
        <f t="shared" si="40"/>
        <v>0</v>
      </c>
      <c r="N86" s="119">
        <f t="shared" si="41"/>
        <v>0</v>
      </c>
      <c r="O86" s="119">
        <f t="shared" si="42"/>
        <v>0</v>
      </c>
      <c r="P86" s="119">
        <f t="shared" si="43"/>
        <v>0</v>
      </c>
      <c r="Q86" s="119">
        <f t="shared" si="44"/>
        <v>0</v>
      </c>
      <c r="R86" s="119">
        <f t="shared" si="45"/>
        <v>0</v>
      </c>
      <c r="S86" s="121">
        <f t="shared" si="46"/>
        <v>0</v>
      </c>
      <c r="T86" s="121">
        <f t="shared" si="47"/>
        <v>0</v>
      </c>
      <c r="U86" s="117"/>
      <c r="V86" s="175"/>
      <c r="W86" s="175"/>
      <c r="X86" s="175"/>
      <c r="Y86" s="175"/>
      <c r="Z86" s="175"/>
      <c r="AA86" s="175"/>
    </row>
    <row r="87" spans="2:27" x14ac:dyDescent="0.15">
      <c r="B87" s="117">
        <v>10</v>
      </c>
      <c r="C87" s="124" t="s">
        <v>138</v>
      </c>
      <c r="D87" s="119">
        <f>IF(Site_Delivery_Systems="Y",0,IF('System Typical BOM Translator'!$H71&gt;0,'System Typical BOM Translator'!$H71*VLOOKUP('System Typicals @ Industry Std'!$B87,Systems_National_Industry_Standards,9),0))</f>
        <v>0</v>
      </c>
      <c r="E87" s="119">
        <f>IF(Site_Delivery_Systems="Y",0,IF('System Typical BOM Translator'!$H71&gt;0,'System Typical BOM Translator'!$H71*VLOOKUP('System Typicals @ Industry Std'!$B87,Systems_National_Industry_Standards,10),0))</f>
        <v>0</v>
      </c>
      <c r="F87" s="119">
        <f>IF('System Typical BOM Translator'!$H71&gt;0,'System Typical BOM Translator'!$H71*VLOOKUP('System Typicals @ Industry Std'!$B87,Systems_National_Industry_Standards,12),0)</f>
        <v>0</v>
      </c>
      <c r="G87" s="119">
        <f>IF('System Typical BOM Translator'!$H71&gt;0,'System Typical BOM Translator'!$H71*VLOOKUP('System Typicals @ Industry Std'!$B87,Systems_National_Industry_Standards,13),0)</f>
        <v>0</v>
      </c>
      <c r="H87" s="119">
        <f>IF('System Typical BOM Translator'!$H71&gt;0,'System Typical BOM Translator'!$H71*VLOOKUP('System Typicals @ Industry Std'!$B87,Systems_National_Industry_Standards,15),0)</f>
        <v>0</v>
      </c>
      <c r="I87" s="119">
        <f>IF('System Typical BOM Translator'!$H71&gt;0,'System Typical BOM Translator'!$H71*VLOOKUP('System Typicals @ Industry Std'!$B87,Systems_National_Industry_Standards,16),0)</f>
        <v>0</v>
      </c>
      <c r="J87" s="119">
        <f>IF('System Typical BOM Translator'!$H71&gt;0,'System Typical BOM Translator'!$H71*VLOOKUP('System Typicals @ Industry Std'!$B87,Systems_National_Industry_Standards,8),0)</f>
        <v>0</v>
      </c>
      <c r="K87" s="119">
        <f>IF('System Typical BOM Translator'!$H71&gt;0,'System Typical BOM Translator'!$H71*VLOOKUP('System Typicals @ Industry Std'!$B87,Systems_National_Industry_Standards,7),0)</f>
        <v>0</v>
      </c>
      <c r="L87" s="117"/>
      <c r="M87" s="119">
        <f t="shared" si="40"/>
        <v>0</v>
      </c>
      <c r="N87" s="119">
        <f t="shared" si="41"/>
        <v>0</v>
      </c>
      <c r="O87" s="119">
        <f t="shared" si="42"/>
        <v>0</v>
      </c>
      <c r="P87" s="119">
        <f t="shared" si="43"/>
        <v>0</v>
      </c>
      <c r="Q87" s="119">
        <f t="shared" si="44"/>
        <v>0</v>
      </c>
      <c r="R87" s="119">
        <f t="shared" si="45"/>
        <v>0</v>
      </c>
      <c r="S87" s="121">
        <f t="shared" si="46"/>
        <v>0</v>
      </c>
      <c r="T87" s="121">
        <f t="shared" si="47"/>
        <v>0</v>
      </c>
      <c r="U87" s="117"/>
      <c r="V87" s="175"/>
      <c r="W87" s="175"/>
      <c r="X87" s="175"/>
      <c r="Y87" s="175"/>
      <c r="Z87" s="175"/>
      <c r="AA87" s="175"/>
    </row>
    <row r="88" spans="2:27" x14ac:dyDescent="0.15">
      <c r="B88" s="117">
        <v>11</v>
      </c>
      <c r="C88" s="124" t="s">
        <v>141</v>
      </c>
      <c r="D88" s="119">
        <f>IF(Site_Delivery_Systems="Y",0,IF('System Typical BOM Translator'!$H72&gt;0,'System Typical BOM Translator'!$H72*VLOOKUP('System Typicals @ Industry Std'!$B88,Systems_National_Industry_Standards,9),0))</f>
        <v>0</v>
      </c>
      <c r="E88" s="119">
        <f>IF(Site_Delivery_Systems="Y",0,IF('System Typical BOM Translator'!$H72&gt;0,'System Typical BOM Translator'!$H72*VLOOKUP('System Typicals @ Industry Std'!$B88,Systems_National_Industry_Standards,10),0))</f>
        <v>0</v>
      </c>
      <c r="F88" s="119">
        <f>IF('System Typical BOM Translator'!$H72&gt;0,'System Typical BOM Translator'!$H72*VLOOKUP('System Typicals @ Industry Std'!$B88,Systems_National_Industry_Standards,12),0)</f>
        <v>0</v>
      </c>
      <c r="G88" s="119">
        <f>IF('System Typical BOM Translator'!$H72&gt;0,'System Typical BOM Translator'!$H72*VLOOKUP('System Typicals @ Industry Std'!$B88,Systems_National_Industry_Standards,13),0)</f>
        <v>0</v>
      </c>
      <c r="H88" s="119">
        <f>IF('System Typical BOM Translator'!$H72&gt;0,'System Typical BOM Translator'!$H72*VLOOKUP('System Typicals @ Industry Std'!$B88,Systems_National_Industry_Standards,15),0)</f>
        <v>0</v>
      </c>
      <c r="I88" s="119">
        <f>IF('System Typical BOM Translator'!$H72&gt;0,'System Typical BOM Translator'!$H72*VLOOKUP('System Typicals @ Industry Std'!$B88,Systems_National_Industry_Standards,16),0)</f>
        <v>0</v>
      </c>
      <c r="J88" s="119">
        <f>IF('System Typical BOM Translator'!$H72&gt;0,'System Typical BOM Translator'!$H72*VLOOKUP('System Typicals @ Industry Std'!$B88,Systems_National_Industry_Standards,8),0)</f>
        <v>0</v>
      </c>
      <c r="K88" s="119">
        <f>IF('System Typical BOM Translator'!$H72&gt;0,'System Typical BOM Translator'!$H72*VLOOKUP('System Typicals @ Industry Std'!$B88,Systems_National_Industry_Standards,7),0)</f>
        <v>0</v>
      </c>
      <c r="L88" s="117"/>
      <c r="M88" s="119">
        <f t="shared" si="40"/>
        <v>0</v>
      </c>
      <c r="N88" s="119">
        <f t="shared" si="41"/>
        <v>0</v>
      </c>
      <c r="O88" s="119">
        <f t="shared" si="42"/>
        <v>0</v>
      </c>
      <c r="P88" s="119">
        <f t="shared" si="43"/>
        <v>0</v>
      </c>
      <c r="Q88" s="119">
        <f t="shared" si="44"/>
        <v>0</v>
      </c>
      <c r="R88" s="119">
        <f t="shared" si="45"/>
        <v>0</v>
      </c>
      <c r="S88" s="121">
        <f t="shared" si="46"/>
        <v>0</v>
      </c>
      <c r="T88" s="121">
        <f t="shared" si="47"/>
        <v>0</v>
      </c>
      <c r="U88" s="117"/>
      <c r="V88" s="175"/>
      <c r="W88" s="175"/>
      <c r="X88" s="175"/>
      <c r="Y88" s="175"/>
      <c r="Z88" s="175"/>
      <c r="AA88" s="175"/>
    </row>
    <row r="89" spans="2:27" x14ac:dyDescent="0.15">
      <c r="B89" s="117">
        <v>12</v>
      </c>
      <c r="C89" s="124" t="s">
        <v>96</v>
      </c>
      <c r="D89" s="119">
        <f>IF(Site_Delivery_Systems="Y",0,IF('System Typical BOM Translator'!$H73&gt;0,'System Typical BOM Translator'!$H73*VLOOKUP('System Typicals @ Industry Std'!$B89,Systems_National_Industry_Standards,9),0))</f>
        <v>0</v>
      </c>
      <c r="E89" s="119">
        <f>IF(Site_Delivery_Systems="Y",0,IF('System Typical BOM Translator'!$H73&gt;0,'System Typical BOM Translator'!$H73*VLOOKUP('System Typicals @ Industry Std'!$B89,Systems_National_Industry_Standards,10),0))</f>
        <v>0</v>
      </c>
      <c r="F89" s="119">
        <f>IF('System Typical BOM Translator'!$H73&gt;0,'System Typical BOM Translator'!$H73*VLOOKUP('System Typicals @ Industry Std'!$B89,Systems_National_Industry_Standards,12),0)</f>
        <v>0</v>
      </c>
      <c r="G89" s="119">
        <f>IF('System Typical BOM Translator'!$H73&gt;0,'System Typical BOM Translator'!$H73*VLOOKUP('System Typicals @ Industry Std'!$B89,Systems_National_Industry_Standards,13),0)</f>
        <v>0</v>
      </c>
      <c r="H89" s="119">
        <f>IF('System Typical BOM Translator'!$H73&gt;0,'System Typical BOM Translator'!$H73*VLOOKUP('System Typicals @ Industry Std'!$B89,Systems_National_Industry_Standards,15),0)</f>
        <v>0</v>
      </c>
      <c r="I89" s="119">
        <f>IF('System Typical BOM Translator'!$H73&gt;0,'System Typical BOM Translator'!$H73*VLOOKUP('System Typicals @ Industry Std'!$B89,Systems_National_Industry_Standards,16),0)</f>
        <v>0</v>
      </c>
      <c r="J89" s="119">
        <f>IF('System Typical BOM Translator'!$H73&gt;0,'System Typical BOM Translator'!$H73*VLOOKUP('System Typicals @ Industry Std'!$B89,Systems_National_Industry_Standards,8),0)</f>
        <v>0</v>
      </c>
      <c r="K89" s="119">
        <f>IF('System Typical BOM Translator'!$H73&gt;0,'System Typical BOM Translator'!$H73*VLOOKUP('System Typicals @ Industry Std'!$B89,Systems_National_Industry_Standards,7),0)</f>
        <v>0</v>
      </c>
      <c r="L89" s="117"/>
      <c r="M89" s="119">
        <f t="shared" si="40"/>
        <v>0</v>
      </c>
      <c r="N89" s="119">
        <f t="shared" si="41"/>
        <v>0</v>
      </c>
      <c r="O89" s="119">
        <f t="shared" si="42"/>
        <v>0</v>
      </c>
      <c r="P89" s="119">
        <f t="shared" si="43"/>
        <v>0</v>
      </c>
      <c r="Q89" s="119">
        <f t="shared" si="44"/>
        <v>0</v>
      </c>
      <c r="R89" s="119">
        <f t="shared" si="45"/>
        <v>0</v>
      </c>
      <c r="S89" s="121">
        <f t="shared" si="46"/>
        <v>0</v>
      </c>
      <c r="T89" s="121">
        <f t="shared" si="47"/>
        <v>0</v>
      </c>
      <c r="U89" s="117"/>
      <c r="V89" s="175"/>
      <c r="W89" s="175"/>
      <c r="X89" s="175"/>
      <c r="Y89" s="175"/>
      <c r="Z89" s="175"/>
      <c r="AA89" s="175"/>
    </row>
    <row r="90" spans="2:27" x14ac:dyDescent="0.15">
      <c r="B90" s="117">
        <v>13</v>
      </c>
      <c r="C90" s="124" t="s">
        <v>97</v>
      </c>
      <c r="D90" s="119">
        <f>IF(Site_Delivery_Systems="Y",0,IF('System Typical BOM Translator'!$H74&gt;0,'System Typical BOM Translator'!$H74*VLOOKUP('System Typicals @ Industry Std'!$B90,Systems_National_Industry_Standards,9),0))</f>
        <v>0</v>
      </c>
      <c r="E90" s="119">
        <f>IF(Site_Delivery_Systems="Y",0,IF('System Typical BOM Translator'!$H74&gt;0,'System Typical BOM Translator'!$H74*VLOOKUP('System Typicals @ Industry Std'!$B90,Systems_National_Industry_Standards,10),0))</f>
        <v>0</v>
      </c>
      <c r="F90" s="119">
        <f>IF('System Typical BOM Translator'!$H74&gt;0,'System Typical BOM Translator'!$H74*VLOOKUP('System Typicals @ Industry Std'!$B90,Systems_National_Industry_Standards,12),0)</f>
        <v>0</v>
      </c>
      <c r="G90" s="119">
        <f>IF('System Typical BOM Translator'!$H74&gt;0,'System Typical BOM Translator'!$H74*VLOOKUP('System Typicals @ Industry Std'!$B90,Systems_National_Industry_Standards,13),0)</f>
        <v>0</v>
      </c>
      <c r="H90" s="119">
        <f>IF('System Typical BOM Translator'!$H74&gt;0,'System Typical BOM Translator'!$H74*VLOOKUP('System Typicals @ Industry Std'!$B90,Systems_National_Industry_Standards,15),0)</f>
        <v>0</v>
      </c>
      <c r="I90" s="119">
        <f>IF('System Typical BOM Translator'!$H74&gt;0,'System Typical BOM Translator'!$H74*VLOOKUP('System Typicals @ Industry Std'!$B90,Systems_National_Industry_Standards,16),0)</f>
        <v>0</v>
      </c>
      <c r="J90" s="119">
        <f>IF('System Typical BOM Translator'!$H74&gt;0,'System Typical BOM Translator'!$H74*VLOOKUP('System Typicals @ Industry Std'!$B90,Systems_National_Industry_Standards,8),0)</f>
        <v>0</v>
      </c>
      <c r="K90" s="119">
        <f>IF('System Typical BOM Translator'!$H74&gt;0,'System Typical BOM Translator'!$H74*VLOOKUP('System Typicals @ Industry Std'!$B90,Systems_National_Industry_Standards,7),0)</f>
        <v>0</v>
      </c>
      <c r="L90" s="117"/>
      <c r="M90" s="119">
        <f t="shared" si="40"/>
        <v>0</v>
      </c>
      <c r="N90" s="119">
        <f t="shared" si="41"/>
        <v>0</v>
      </c>
      <c r="O90" s="119">
        <f t="shared" si="42"/>
        <v>0</v>
      </c>
      <c r="P90" s="119">
        <f t="shared" si="43"/>
        <v>0</v>
      </c>
      <c r="Q90" s="119">
        <f t="shared" si="44"/>
        <v>0</v>
      </c>
      <c r="R90" s="119">
        <f t="shared" si="45"/>
        <v>0</v>
      </c>
      <c r="S90" s="121">
        <f t="shared" si="46"/>
        <v>0</v>
      </c>
      <c r="T90" s="121">
        <f t="shared" si="47"/>
        <v>0</v>
      </c>
      <c r="U90" s="117"/>
      <c r="V90" s="175"/>
      <c r="W90" s="175"/>
      <c r="X90" s="175"/>
      <c r="Y90" s="175"/>
      <c r="Z90" s="175"/>
      <c r="AA90" s="175"/>
    </row>
    <row r="91" spans="2:27" x14ac:dyDescent="0.15">
      <c r="B91" s="117">
        <v>14</v>
      </c>
      <c r="C91" s="124" t="s">
        <v>102</v>
      </c>
      <c r="D91" s="119">
        <f>IF(Site_Delivery_Systems="Y",0,IF('System Typical BOM Translator'!$H75&gt;0,'System Typical BOM Translator'!$H75*VLOOKUP('System Typicals @ Industry Std'!$B91,Systems_National_Industry_Standards,9),0))</f>
        <v>0</v>
      </c>
      <c r="E91" s="119">
        <f>IF(Site_Delivery_Systems="Y",0,IF('System Typical BOM Translator'!$H75&gt;0,'System Typical BOM Translator'!$H75*VLOOKUP('System Typicals @ Industry Std'!$B91,Systems_National_Industry_Standards,10),0))</f>
        <v>0</v>
      </c>
      <c r="F91" s="119">
        <f>IF('System Typical BOM Translator'!$H75&gt;0,'System Typical BOM Translator'!$H75*VLOOKUP('System Typicals @ Industry Std'!$B91,Systems_National_Industry_Standards,12),0)</f>
        <v>0</v>
      </c>
      <c r="G91" s="119">
        <f>IF('System Typical BOM Translator'!$H75&gt;0,'System Typical BOM Translator'!$H75*VLOOKUP('System Typicals @ Industry Std'!$B91,Systems_National_Industry_Standards,13),0)</f>
        <v>0</v>
      </c>
      <c r="H91" s="119">
        <f>IF('System Typical BOM Translator'!$H75&gt;0,'System Typical BOM Translator'!$H75*VLOOKUP('System Typicals @ Industry Std'!$B91,Systems_National_Industry_Standards,15),0)</f>
        <v>0</v>
      </c>
      <c r="I91" s="119">
        <f>IF('System Typical BOM Translator'!$H75&gt;0,'System Typical BOM Translator'!$H75*VLOOKUP('System Typicals @ Industry Std'!$B91,Systems_National_Industry_Standards,16),0)</f>
        <v>0</v>
      </c>
      <c r="J91" s="119">
        <f>IF('System Typical BOM Translator'!$H75&gt;0,'System Typical BOM Translator'!$H75*VLOOKUP('System Typicals @ Industry Std'!$B91,Systems_National_Industry_Standards,8),0)</f>
        <v>0</v>
      </c>
      <c r="K91" s="119">
        <f>IF('System Typical BOM Translator'!$H75&gt;0,'System Typical BOM Translator'!$H75*VLOOKUP('System Typicals @ Industry Std'!$B91,Systems_National_Industry_Standards,7),0)</f>
        <v>0</v>
      </c>
      <c r="L91" s="117"/>
      <c r="M91" s="119">
        <f t="shared" si="40"/>
        <v>0</v>
      </c>
      <c r="N91" s="119">
        <f t="shared" si="41"/>
        <v>0</v>
      </c>
      <c r="O91" s="119">
        <f t="shared" si="42"/>
        <v>0</v>
      </c>
      <c r="P91" s="119">
        <f t="shared" si="43"/>
        <v>0</v>
      </c>
      <c r="Q91" s="119">
        <f t="shared" si="44"/>
        <v>0</v>
      </c>
      <c r="R91" s="119">
        <f t="shared" si="45"/>
        <v>0</v>
      </c>
      <c r="S91" s="121">
        <f t="shared" si="46"/>
        <v>0</v>
      </c>
      <c r="T91" s="121">
        <f t="shared" si="47"/>
        <v>0</v>
      </c>
      <c r="U91" s="117"/>
      <c r="V91" s="175"/>
      <c r="W91" s="175"/>
      <c r="X91" s="175"/>
      <c r="Y91" s="175"/>
      <c r="Z91" s="175"/>
      <c r="AA91" s="175"/>
    </row>
    <row r="92" spans="2:27" ht="14" thickBot="1" x14ac:dyDescent="0.2">
      <c r="C92" s="109" t="s">
        <v>107</v>
      </c>
      <c r="D92" s="125">
        <f t="shared" ref="D92:K92" si="48">SUM(D78:D91)</f>
        <v>0</v>
      </c>
      <c r="E92" s="125">
        <f t="shared" si="48"/>
        <v>0</v>
      </c>
      <c r="F92" s="125">
        <f t="shared" si="48"/>
        <v>0</v>
      </c>
      <c r="G92" s="125">
        <f t="shared" si="48"/>
        <v>0</v>
      </c>
      <c r="H92" s="125">
        <f t="shared" si="48"/>
        <v>0</v>
      </c>
      <c r="I92" s="125">
        <f t="shared" si="48"/>
        <v>0</v>
      </c>
      <c r="J92" s="125">
        <f t="shared" si="48"/>
        <v>0</v>
      </c>
      <c r="K92" s="125">
        <f t="shared" si="48"/>
        <v>0</v>
      </c>
      <c r="M92" s="125">
        <f t="shared" ref="M92:T92" si="49">SUM(M78:M91)</f>
        <v>0</v>
      </c>
      <c r="N92" s="125">
        <f t="shared" si="49"/>
        <v>0</v>
      </c>
      <c r="O92" s="125">
        <f t="shared" si="49"/>
        <v>0</v>
      </c>
      <c r="P92" s="125">
        <f t="shared" si="49"/>
        <v>0</v>
      </c>
      <c r="Q92" s="125">
        <f t="shared" si="49"/>
        <v>0</v>
      </c>
      <c r="R92" s="125">
        <f t="shared" si="49"/>
        <v>0</v>
      </c>
      <c r="S92" s="125">
        <f t="shared" si="49"/>
        <v>0</v>
      </c>
      <c r="T92" s="125">
        <f t="shared" si="49"/>
        <v>0</v>
      </c>
      <c r="U92" s="125">
        <f>T92/950</f>
        <v>0</v>
      </c>
      <c r="V92" s="190">
        <f>IF(Typical_5_Qty="",0,IF(Typical_5_Qty=0,0,SUM(M92:N92)/Typical_5_Qty))</f>
        <v>0</v>
      </c>
      <c r="W92" s="190">
        <f>IF(Typical_5_Qty="",0,IF(Typical_5_Qty=0,0,SUM(O92:P92)/Typical_5_Qty))</f>
        <v>0</v>
      </c>
      <c r="X92" s="190">
        <f>IF(Typical_5_Qty="",0,IF(Typical_5_Qty=0,0,SUM(Q92)/Typical_5_Qty))</f>
        <v>0</v>
      </c>
      <c r="Y92" s="190">
        <f>IF(Typical_5_Qty="",0,IF(Typical_5_Qty=0,0,SUM(R92)/Typical_5_Qty))</f>
        <v>0</v>
      </c>
      <c r="Z92" s="190">
        <f>SUM(W92:Y92)</f>
        <v>0</v>
      </c>
      <c r="AA92" s="190">
        <f>Z92+V92</f>
        <v>0</v>
      </c>
    </row>
    <row r="93" spans="2:27" ht="15" thickTop="1" thickBot="1" x14ac:dyDescent="0.2"/>
    <row r="94" spans="2:27" ht="17" thickBot="1" x14ac:dyDescent="0.25">
      <c r="D94" s="581" t="s">
        <v>128</v>
      </c>
      <c r="E94" s="582"/>
      <c r="F94" s="582"/>
      <c r="G94" s="582"/>
      <c r="H94" s="582"/>
      <c r="I94" s="582"/>
      <c r="J94" s="582"/>
      <c r="K94" s="583"/>
      <c r="M94" s="581" t="s">
        <v>128</v>
      </c>
      <c r="N94" s="582"/>
      <c r="O94" s="582"/>
      <c r="P94" s="582"/>
      <c r="Q94" s="582"/>
      <c r="R94" s="582"/>
      <c r="S94" s="582"/>
      <c r="T94" s="583"/>
    </row>
    <row r="95" spans="2:27" ht="52" x14ac:dyDescent="0.15">
      <c r="C95" s="113" t="s">
        <v>91</v>
      </c>
      <c r="D95" s="114" t="s">
        <v>275</v>
      </c>
      <c r="E95" s="114" t="s">
        <v>276</v>
      </c>
      <c r="F95" s="114" t="s">
        <v>277</v>
      </c>
      <c r="G95" s="114" t="s">
        <v>278</v>
      </c>
      <c r="H95" s="114" t="s">
        <v>285</v>
      </c>
      <c r="I95" s="114" t="s">
        <v>286</v>
      </c>
      <c r="J95" s="114" t="s">
        <v>105</v>
      </c>
      <c r="K95" s="114" t="s">
        <v>104</v>
      </c>
      <c r="M95" s="115" t="s">
        <v>279</v>
      </c>
      <c r="N95" s="115" t="s">
        <v>280</v>
      </c>
      <c r="O95" s="115" t="s">
        <v>281</v>
      </c>
      <c r="P95" s="115" t="s">
        <v>282</v>
      </c>
      <c r="Q95" s="115" t="s">
        <v>283</v>
      </c>
      <c r="R95" s="115" t="s">
        <v>284</v>
      </c>
      <c r="S95" s="114" t="s">
        <v>105</v>
      </c>
      <c r="T95" s="114" t="s">
        <v>104</v>
      </c>
      <c r="V95" s="189" t="s">
        <v>290</v>
      </c>
      <c r="W95" s="189" t="s">
        <v>287</v>
      </c>
      <c r="X95" s="189" t="s">
        <v>289</v>
      </c>
      <c r="Y95" s="189" t="s">
        <v>288</v>
      </c>
      <c r="Z95" s="189" t="s">
        <v>291</v>
      </c>
      <c r="AA95" s="189" t="s">
        <v>291</v>
      </c>
    </row>
    <row r="96" spans="2:27" x14ac:dyDescent="0.15">
      <c r="B96" s="117">
        <v>1</v>
      </c>
      <c r="C96" s="118" t="s">
        <v>165</v>
      </c>
      <c r="D96" s="119">
        <f>IF(Site_Delivery_Systems="Y",0,IF('System Typical BOM Translator'!$I62&gt;0,'System Typical BOM Translator'!$I62*VLOOKUP('System Typicals @ Industry Std'!$B96,Systems_National_Industry_Standards,9),0))</f>
        <v>0</v>
      </c>
      <c r="E96" s="119">
        <f>IF(Site_Delivery_Systems="Y",0,IF('System Typical BOM Translator'!$I62&gt;0,'System Typical BOM Translator'!$I62*VLOOKUP('System Typicals @ Industry Std'!$B96,Systems_National_Industry_Standards,10),0))</f>
        <v>0</v>
      </c>
      <c r="F96" s="119">
        <f>IF('System Typical BOM Translator'!$I62&gt;0,'System Typical BOM Translator'!$I62*VLOOKUP('System Typicals @ Industry Std'!$B96,Systems_National_Industry_Standards,12),0)</f>
        <v>0</v>
      </c>
      <c r="G96" s="119">
        <f>IF('System Typical BOM Translator'!$I62&gt;0,'System Typical BOM Translator'!$I62*VLOOKUP('System Typicals @ Industry Std'!$B96,Systems_National_Industry_Standards,13),0)</f>
        <v>0</v>
      </c>
      <c r="H96" s="119">
        <f>IF('System Typical BOM Translator'!$I62&gt;0,'System Typical BOM Translator'!$I62*VLOOKUP('System Typicals @ Industry Std'!$B96,Systems_National_Industry_Standards,15),0)</f>
        <v>0</v>
      </c>
      <c r="I96" s="119">
        <f>IF('System Typical BOM Translator'!$I62&gt;0,'System Typical BOM Translator'!$I62*VLOOKUP('System Typicals @ Industry Std'!$B96,Systems_National_Industry_Standards,16),0)</f>
        <v>0</v>
      </c>
      <c r="J96" s="119">
        <f>IF('System Typical BOM Translator'!$I62&gt;0,'System Typical BOM Translator'!$I62*VLOOKUP('System Typicals @ Industry Std'!$B96,Systems_National_Industry_Standards,8),0)</f>
        <v>0</v>
      </c>
      <c r="K96" s="119">
        <f>IF('System Typical BOM Translator'!$I62&gt;0,'System Typical BOM Translator'!$I62*VLOOKUP('System Typicals @ Industry Std'!$B96,Systems_National_Industry_Standards,7),0)</f>
        <v>0</v>
      </c>
      <c r="L96" s="120"/>
      <c r="M96" s="119">
        <f t="shared" ref="M96:R96" si="50">D96/60</f>
        <v>0</v>
      </c>
      <c r="N96" s="119">
        <f t="shared" si="50"/>
        <v>0</v>
      </c>
      <c r="O96" s="119">
        <f t="shared" si="50"/>
        <v>0</v>
      </c>
      <c r="P96" s="119">
        <f t="shared" si="50"/>
        <v>0</v>
      </c>
      <c r="Q96" s="119">
        <f t="shared" si="50"/>
        <v>0</v>
      </c>
      <c r="R96" s="119">
        <f t="shared" si="50"/>
        <v>0</v>
      </c>
      <c r="S96" s="121">
        <f>J96</f>
        <v>0</v>
      </c>
      <c r="T96" s="121">
        <f>K96</f>
        <v>0</v>
      </c>
      <c r="U96" s="117"/>
      <c r="V96" s="175"/>
      <c r="W96" s="175"/>
      <c r="X96" s="175"/>
      <c r="Y96" s="175"/>
      <c r="Z96" s="175"/>
      <c r="AA96" s="175"/>
    </row>
    <row r="97" spans="2:27" x14ac:dyDescent="0.15">
      <c r="B97" s="117">
        <v>2</v>
      </c>
      <c r="C97" s="118" t="s">
        <v>166</v>
      </c>
      <c r="D97" s="119">
        <f>IF(Site_Delivery_Systems="Y",0,IF('System Typical BOM Translator'!$I63&gt;0,'System Typical BOM Translator'!$I63*VLOOKUP('System Typicals @ Industry Std'!$B97,Systems_National_Industry_Standards,9),0))</f>
        <v>0</v>
      </c>
      <c r="E97" s="119">
        <f>IF(Site_Delivery_Systems="Y",0,IF('System Typical BOM Translator'!$I63&gt;0,'System Typical BOM Translator'!$I63*VLOOKUP('System Typicals @ Industry Std'!$B97,Systems_National_Industry_Standards,10),0))</f>
        <v>0</v>
      </c>
      <c r="F97" s="119">
        <f>IF('System Typical BOM Translator'!$I63&gt;0,'System Typical BOM Translator'!$I63*VLOOKUP('System Typicals @ Industry Std'!$B97,Systems_National_Industry_Standards,12),0)</f>
        <v>0</v>
      </c>
      <c r="G97" s="119">
        <f>IF('System Typical BOM Translator'!$I63&gt;0,'System Typical BOM Translator'!$I63*VLOOKUP('System Typicals @ Industry Std'!$B97,Systems_National_Industry_Standards,13),0)</f>
        <v>0</v>
      </c>
      <c r="H97" s="119">
        <f>IF('System Typical BOM Translator'!$I63&gt;0,'System Typical BOM Translator'!$I63*VLOOKUP('System Typicals @ Industry Std'!$B97,Systems_National_Industry_Standards,15),0)</f>
        <v>0</v>
      </c>
      <c r="I97" s="119">
        <f>IF('System Typical BOM Translator'!$I63&gt;0,'System Typical BOM Translator'!$I63*VLOOKUP('System Typicals @ Industry Std'!$B97,Systems_National_Industry_Standards,16),0)</f>
        <v>0</v>
      </c>
      <c r="J97" s="119">
        <f>IF('System Typical BOM Translator'!$I63&gt;0,'System Typical BOM Translator'!$I63*VLOOKUP('System Typicals @ Industry Std'!$B97,Systems_National_Industry_Standards,8),0)</f>
        <v>0</v>
      </c>
      <c r="K97" s="119">
        <f>IF('System Typical BOM Translator'!$I63&gt;0,'System Typical BOM Translator'!$I63*VLOOKUP('System Typicals @ Industry Std'!$B97,Systems_National_Industry_Standards,7),0)</f>
        <v>0</v>
      </c>
      <c r="L97" s="117"/>
      <c r="M97" s="119">
        <f t="shared" ref="M97:M109" si="51">D97/60</f>
        <v>0</v>
      </c>
      <c r="N97" s="119">
        <f t="shared" ref="N97:N109" si="52">E97/60</f>
        <v>0</v>
      </c>
      <c r="O97" s="119">
        <f t="shared" ref="O97:O109" si="53">F97/60</f>
        <v>0</v>
      </c>
      <c r="P97" s="119">
        <f t="shared" ref="P97:P109" si="54">G97/60</f>
        <v>0</v>
      </c>
      <c r="Q97" s="119">
        <f t="shared" ref="Q97:Q109" si="55">H97/60</f>
        <v>0</v>
      </c>
      <c r="R97" s="119">
        <f t="shared" ref="R97:R109" si="56">I97/60</f>
        <v>0</v>
      </c>
      <c r="S97" s="121">
        <f t="shared" ref="S97:S109" si="57">J97</f>
        <v>0</v>
      </c>
      <c r="T97" s="121">
        <f t="shared" ref="T97:T109" si="58">K97</f>
        <v>0</v>
      </c>
      <c r="U97" s="117"/>
      <c r="V97" s="175"/>
      <c r="W97" s="175"/>
      <c r="X97" s="175"/>
      <c r="Y97" s="175"/>
      <c r="Z97" s="175"/>
      <c r="AA97" s="175"/>
    </row>
    <row r="98" spans="2:27" x14ac:dyDescent="0.15">
      <c r="B98" s="117">
        <v>3</v>
      </c>
      <c r="C98" s="118" t="s">
        <v>140</v>
      </c>
      <c r="D98" s="119">
        <f>IF(Site_Delivery_Systems="Y",0,IF('System Typical BOM Translator'!$I64&gt;0,'System Typical BOM Translator'!$I64*VLOOKUP('System Typicals @ Industry Std'!$B98,Systems_National_Industry_Standards,9),0))</f>
        <v>0</v>
      </c>
      <c r="E98" s="119">
        <f>IF(Site_Delivery_Systems="Y",0,IF('System Typical BOM Translator'!$I64&gt;0,'System Typical BOM Translator'!$I64*VLOOKUP('System Typicals @ Industry Std'!$B98,Systems_National_Industry_Standards,10),0))</f>
        <v>0</v>
      </c>
      <c r="F98" s="119">
        <f>IF('System Typical BOM Translator'!$I64&gt;0,'System Typical BOM Translator'!$I64*VLOOKUP('System Typicals @ Industry Std'!$B98,Systems_National_Industry_Standards,12),0)</f>
        <v>0</v>
      </c>
      <c r="G98" s="119">
        <f>IF('System Typical BOM Translator'!$I64&gt;0,'System Typical BOM Translator'!$I64*VLOOKUP('System Typicals @ Industry Std'!$B98,Systems_National_Industry_Standards,13),0)</f>
        <v>0</v>
      </c>
      <c r="H98" s="119">
        <f>IF('System Typical BOM Translator'!$I64&gt;0,'System Typical BOM Translator'!$I64*VLOOKUP('System Typicals @ Industry Std'!$B98,Systems_National_Industry_Standards,15),0)</f>
        <v>0</v>
      </c>
      <c r="I98" s="119">
        <f>IF('System Typical BOM Translator'!$I64&gt;0,'System Typical BOM Translator'!$I64*VLOOKUP('System Typicals @ Industry Std'!$B98,Systems_National_Industry_Standards,16),0)</f>
        <v>0</v>
      </c>
      <c r="J98" s="119">
        <f>IF('System Typical BOM Translator'!$I64&gt;0,'System Typical BOM Translator'!$I64*VLOOKUP('System Typicals @ Industry Std'!$B98,Systems_National_Industry_Standards,8),0)</f>
        <v>0</v>
      </c>
      <c r="K98" s="119">
        <f>IF('System Typical BOM Translator'!$I64&gt;0,'System Typical BOM Translator'!$I64*VLOOKUP('System Typicals @ Industry Std'!$B98,Systems_National_Industry_Standards,7),0)</f>
        <v>0</v>
      </c>
      <c r="L98" s="122"/>
      <c r="M98" s="119">
        <f t="shared" si="51"/>
        <v>0</v>
      </c>
      <c r="N98" s="119">
        <f t="shared" si="52"/>
        <v>0</v>
      </c>
      <c r="O98" s="119">
        <f t="shared" si="53"/>
        <v>0</v>
      </c>
      <c r="P98" s="119">
        <f t="shared" si="54"/>
        <v>0</v>
      </c>
      <c r="Q98" s="119">
        <f t="shared" si="55"/>
        <v>0</v>
      </c>
      <c r="R98" s="119">
        <f t="shared" si="56"/>
        <v>0</v>
      </c>
      <c r="S98" s="121">
        <f t="shared" si="57"/>
        <v>0</v>
      </c>
      <c r="T98" s="121">
        <f t="shared" si="58"/>
        <v>0</v>
      </c>
      <c r="U98" s="122"/>
      <c r="V98" s="175"/>
      <c r="W98" s="175"/>
      <c r="X98" s="175"/>
      <c r="Y98" s="175"/>
      <c r="Z98" s="175"/>
      <c r="AA98" s="175"/>
    </row>
    <row r="99" spans="2:27" x14ac:dyDescent="0.15">
      <c r="B99" s="117">
        <v>4</v>
      </c>
      <c r="C99" s="123" t="s">
        <v>168</v>
      </c>
      <c r="D99" s="119">
        <f>IF(Site_Delivery_Systems="Y",0,IF('System Typical BOM Translator'!$I65&gt;0,'System Typical BOM Translator'!$I65*VLOOKUP('System Typicals @ Industry Std'!$B99,Systems_National_Industry_Standards,9),0))</f>
        <v>0</v>
      </c>
      <c r="E99" s="119">
        <f>IF(Site_Delivery_Systems="Y",0,IF('System Typical BOM Translator'!$I65&gt;0,'System Typical BOM Translator'!$I65*VLOOKUP('System Typicals @ Industry Std'!$B99,Systems_National_Industry_Standards,10),0))</f>
        <v>0</v>
      </c>
      <c r="F99" s="119">
        <f>IF('System Typical BOM Translator'!$I65&gt;0,'System Typical BOM Translator'!$I65*VLOOKUP('System Typicals @ Industry Std'!$B99,Systems_National_Industry_Standards,12),0)</f>
        <v>0</v>
      </c>
      <c r="G99" s="119">
        <f>IF('System Typical BOM Translator'!$I65&gt;0,'System Typical BOM Translator'!$I65*VLOOKUP('System Typicals @ Industry Std'!$B99,Systems_National_Industry_Standards,13),0)</f>
        <v>0</v>
      </c>
      <c r="H99" s="119">
        <f>IF('System Typical BOM Translator'!$I65&gt;0,'System Typical BOM Translator'!$I65*VLOOKUP('System Typicals @ Industry Std'!$B99,Systems_National_Industry_Standards,15),0)</f>
        <v>0</v>
      </c>
      <c r="I99" s="119">
        <f>IF('System Typical BOM Translator'!$I65&gt;0,'System Typical BOM Translator'!$I65*VLOOKUP('System Typicals @ Industry Std'!$B99,Systems_National_Industry_Standards,16),0)</f>
        <v>0</v>
      </c>
      <c r="J99" s="119">
        <f>IF('System Typical BOM Translator'!$I65&gt;0,'System Typical BOM Translator'!$I65*VLOOKUP('System Typicals @ Industry Std'!$B99,Systems_National_Industry_Standards,8),0)</f>
        <v>0</v>
      </c>
      <c r="K99" s="119">
        <f>IF('System Typical BOM Translator'!$I65&gt;0,'System Typical BOM Translator'!$I65*VLOOKUP('System Typicals @ Industry Std'!$B99,Systems_National_Industry_Standards,7),0)</f>
        <v>0</v>
      </c>
      <c r="L99" s="122"/>
      <c r="M99" s="119">
        <f t="shared" si="51"/>
        <v>0</v>
      </c>
      <c r="N99" s="119">
        <f t="shared" si="52"/>
        <v>0</v>
      </c>
      <c r="O99" s="119">
        <f t="shared" si="53"/>
        <v>0</v>
      </c>
      <c r="P99" s="119">
        <f t="shared" si="54"/>
        <v>0</v>
      </c>
      <c r="Q99" s="119">
        <f t="shared" si="55"/>
        <v>0</v>
      </c>
      <c r="R99" s="119">
        <f t="shared" si="56"/>
        <v>0</v>
      </c>
      <c r="S99" s="121">
        <f t="shared" si="57"/>
        <v>0</v>
      </c>
      <c r="T99" s="121">
        <f t="shared" si="58"/>
        <v>0</v>
      </c>
      <c r="U99" s="122"/>
      <c r="V99" s="175"/>
      <c r="W99" s="175"/>
      <c r="X99" s="175"/>
      <c r="Y99" s="175"/>
      <c r="Z99" s="175"/>
      <c r="AA99" s="175"/>
    </row>
    <row r="100" spans="2:27" x14ac:dyDescent="0.15">
      <c r="B100" s="117">
        <v>5</v>
      </c>
      <c r="C100" s="124" t="s">
        <v>167</v>
      </c>
      <c r="D100" s="119">
        <f>IF(Site_Delivery_Systems="Y",0,IF('System Typical BOM Translator'!$I66&gt;0,'System Typical BOM Translator'!$I66*VLOOKUP('System Typicals @ Industry Std'!$B100,Systems_National_Industry_Standards,9),0))</f>
        <v>0</v>
      </c>
      <c r="E100" s="119">
        <f>IF(Site_Delivery_Systems="Y",0,IF('System Typical BOM Translator'!$I66&gt;0,'System Typical BOM Translator'!$I66*VLOOKUP('System Typicals @ Industry Std'!$B100,Systems_National_Industry_Standards,10),0))</f>
        <v>0</v>
      </c>
      <c r="F100" s="119">
        <f>IF('System Typical BOM Translator'!$I66&gt;0,'System Typical BOM Translator'!$I66*VLOOKUP('System Typicals @ Industry Std'!$B100,Systems_National_Industry_Standards,12),0)</f>
        <v>0</v>
      </c>
      <c r="G100" s="119">
        <f>IF('System Typical BOM Translator'!$I66&gt;0,'System Typical BOM Translator'!$I66*VLOOKUP('System Typicals @ Industry Std'!$B100,Systems_National_Industry_Standards,13),0)</f>
        <v>0</v>
      </c>
      <c r="H100" s="119">
        <f>IF('System Typical BOM Translator'!$I66&gt;0,'System Typical BOM Translator'!$I66*VLOOKUP('System Typicals @ Industry Std'!$B100,Systems_National_Industry_Standards,15),0)</f>
        <v>0</v>
      </c>
      <c r="I100" s="119">
        <f>IF('System Typical BOM Translator'!$I66&gt;0,'System Typical BOM Translator'!$I66*VLOOKUP('System Typicals @ Industry Std'!$B100,Systems_National_Industry_Standards,16),0)</f>
        <v>0</v>
      </c>
      <c r="J100" s="119">
        <f>IF('System Typical BOM Translator'!$I66&gt;0,'System Typical BOM Translator'!$I66*VLOOKUP('System Typicals @ Industry Std'!$B100,Systems_National_Industry_Standards,8),0)</f>
        <v>0</v>
      </c>
      <c r="K100" s="119">
        <f>IF('System Typical BOM Translator'!$I66&gt;0,'System Typical BOM Translator'!$I66*VLOOKUP('System Typicals @ Industry Std'!$B100,Systems_National_Industry_Standards,7),0)</f>
        <v>0</v>
      </c>
      <c r="L100" s="122"/>
      <c r="M100" s="119">
        <f t="shared" si="51"/>
        <v>0</v>
      </c>
      <c r="N100" s="119">
        <f t="shared" si="52"/>
        <v>0</v>
      </c>
      <c r="O100" s="119">
        <f t="shared" si="53"/>
        <v>0</v>
      </c>
      <c r="P100" s="119">
        <f t="shared" si="54"/>
        <v>0</v>
      </c>
      <c r="Q100" s="119">
        <f t="shared" si="55"/>
        <v>0</v>
      </c>
      <c r="R100" s="119">
        <f t="shared" si="56"/>
        <v>0</v>
      </c>
      <c r="S100" s="121">
        <f t="shared" si="57"/>
        <v>0</v>
      </c>
      <c r="T100" s="121">
        <f t="shared" si="58"/>
        <v>0</v>
      </c>
      <c r="U100" s="122"/>
      <c r="V100" s="175"/>
      <c r="W100" s="175"/>
      <c r="X100" s="175"/>
      <c r="Y100" s="175"/>
      <c r="Z100" s="175"/>
      <c r="AA100" s="175"/>
    </row>
    <row r="101" spans="2:27" x14ac:dyDescent="0.15">
      <c r="B101" s="117">
        <v>6</v>
      </c>
      <c r="C101" s="124" t="s">
        <v>164</v>
      </c>
      <c r="D101" s="119">
        <f>IF(Site_Delivery_Systems="Y",0,IF('System Typical BOM Translator'!$I67&gt;0,'System Typical BOM Translator'!$I67*VLOOKUP('System Typicals @ Industry Std'!$B101,Systems_National_Industry_Standards,9),0))</f>
        <v>0</v>
      </c>
      <c r="E101" s="119">
        <f>IF(Site_Delivery_Systems="Y",0,IF('System Typical BOM Translator'!$I67&gt;0,'System Typical BOM Translator'!$I67*VLOOKUP('System Typicals @ Industry Std'!$B101,Systems_National_Industry_Standards,10),0))</f>
        <v>0</v>
      </c>
      <c r="F101" s="119">
        <f>IF('System Typical BOM Translator'!$I67&gt;0,'System Typical BOM Translator'!$I67*VLOOKUP('System Typicals @ Industry Std'!$B101,Systems_National_Industry_Standards,12),0)</f>
        <v>0</v>
      </c>
      <c r="G101" s="119">
        <f>IF('System Typical BOM Translator'!$I67&gt;0,'System Typical BOM Translator'!$I67*VLOOKUP('System Typicals @ Industry Std'!$B101,Systems_National_Industry_Standards,13),0)</f>
        <v>0</v>
      </c>
      <c r="H101" s="119">
        <f>IF('System Typical BOM Translator'!$I67&gt;0,'System Typical BOM Translator'!$I67*VLOOKUP('System Typicals @ Industry Std'!$B101,Systems_National_Industry_Standards,15),0)</f>
        <v>0</v>
      </c>
      <c r="I101" s="119">
        <f>IF('System Typical BOM Translator'!$I67&gt;0,'System Typical BOM Translator'!$I67*VLOOKUP('System Typicals @ Industry Std'!$B101,Systems_National_Industry_Standards,16),0)</f>
        <v>0</v>
      </c>
      <c r="J101" s="119">
        <f>IF('System Typical BOM Translator'!$I67&gt;0,'System Typical BOM Translator'!$I67*VLOOKUP('System Typicals @ Industry Std'!$B101,Systems_National_Industry_Standards,8),0)</f>
        <v>0</v>
      </c>
      <c r="K101" s="119">
        <f>IF('System Typical BOM Translator'!$I67&gt;0,'System Typical BOM Translator'!$I67*VLOOKUP('System Typicals @ Industry Std'!$B101,Systems_National_Industry_Standards,7),0)</f>
        <v>0</v>
      </c>
      <c r="L101" s="122"/>
      <c r="M101" s="119">
        <f t="shared" si="51"/>
        <v>0</v>
      </c>
      <c r="N101" s="119">
        <f t="shared" si="52"/>
        <v>0</v>
      </c>
      <c r="O101" s="119">
        <f t="shared" si="53"/>
        <v>0</v>
      </c>
      <c r="P101" s="119">
        <f t="shared" si="54"/>
        <v>0</v>
      </c>
      <c r="Q101" s="119">
        <f t="shared" si="55"/>
        <v>0</v>
      </c>
      <c r="R101" s="119">
        <f t="shared" si="56"/>
        <v>0</v>
      </c>
      <c r="S101" s="121">
        <f t="shared" si="57"/>
        <v>0</v>
      </c>
      <c r="T101" s="121">
        <f t="shared" si="58"/>
        <v>0</v>
      </c>
      <c r="U101" s="122"/>
      <c r="V101" s="175"/>
      <c r="W101" s="175"/>
      <c r="X101" s="175"/>
      <c r="Y101" s="175"/>
      <c r="Z101" s="175"/>
      <c r="AA101" s="175"/>
    </row>
    <row r="102" spans="2:27" x14ac:dyDescent="0.15">
      <c r="B102" s="117">
        <v>7</v>
      </c>
      <c r="C102" s="124" t="s">
        <v>94</v>
      </c>
      <c r="D102" s="119">
        <f>IF(Site_Delivery_Systems="Y",0,IF('System Typical BOM Translator'!$I68&gt;0,'System Typical BOM Translator'!$I68*VLOOKUP('System Typicals @ Industry Std'!$B102,Systems_National_Industry_Standards,9),0))</f>
        <v>0</v>
      </c>
      <c r="E102" s="119">
        <f>IF(Site_Delivery_Systems="Y",0,IF('System Typical BOM Translator'!$I68&gt;0,'System Typical BOM Translator'!$I68*VLOOKUP('System Typicals @ Industry Std'!$B102,Systems_National_Industry_Standards,10),0))</f>
        <v>0</v>
      </c>
      <c r="F102" s="119">
        <f>IF('System Typical BOM Translator'!$I68&gt;0,'System Typical BOM Translator'!$I68*VLOOKUP('System Typicals @ Industry Std'!$B102,Systems_National_Industry_Standards,12),0)</f>
        <v>0</v>
      </c>
      <c r="G102" s="119">
        <f>IF('System Typical BOM Translator'!$I68&gt;0,'System Typical BOM Translator'!$I68*VLOOKUP('System Typicals @ Industry Std'!$B102,Systems_National_Industry_Standards,13),0)</f>
        <v>0</v>
      </c>
      <c r="H102" s="119">
        <f>IF('System Typical BOM Translator'!$I68&gt;0,'System Typical BOM Translator'!$I68*VLOOKUP('System Typicals @ Industry Std'!$B102,Systems_National_Industry_Standards,15),0)</f>
        <v>0</v>
      </c>
      <c r="I102" s="119">
        <f>IF('System Typical BOM Translator'!$I68&gt;0,'System Typical BOM Translator'!$I68*VLOOKUP('System Typicals @ Industry Std'!$B102,Systems_National_Industry_Standards,16),0)</f>
        <v>0</v>
      </c>
      <c r="J102" s="119">
        <f>IF('System Typical BOM Translator'!$I68&gt;0,'System Typical BOM Translator'!$I68*VLOOKUP('System Typicals @ Industry Std'!$B102,Systems_National_Industry_Standards,8),0)</f>
        <v>0</v>
      </c>
      <c r="K102" s="119">
        <f>IF('System Typical BOM Translator'!$I68&gt;0,'System Typical BOM Translator'!$I68*VLOOKUP('System Typicals @ Industry Std'!$B102,Systems_National_Industry_Standards,7),0)</f>
        <v>0</v>
      </c>
      <c r="L102" s="122"/>
      <c r="M102" s="119">
        <f t="shared" si="51"/>
        <v>0</v>
      </c>
      <c r="N102" s="119">
        <f t="shared" si="52"/>
        <v>0</v>
      </c>
      <c r="O102" s="119">
        <f t="shared" si="53"/>
        <v>0</v>
      </c>
      <c r="P102" s="119">
        <f t="shared" si="54"/>
        <v>0</v>
      </c>
      <c r="Q102" s="119">
        <f t="shared" si="55"/>
        <v>0</v>
      </c>
      <c r="R102" s="119">
        <f t="shared" si="56"/>
        <v>0</v>
      </c>
      <c r="S102" s="121">
        <f t="shared" si="57"/>
        <v>0</v>
      </c>
      <c r="T102" s="121">
        <f t="shared" si="58"/>
        <v>0</v>
      </c>
      <c r="U102" s="122"/>
      <c r="V102" s="175"/>
      <c r="W102" s="175"/>
      <c r="X102" s="175"/>
      <c r="Y102" s="175"/>
      <c r="Z102" s="175"/>
      <c r="AA102" s="175"/>
    </row>
    <row r="103" spans="2:27" x14ac:dyDescent="0.15">
      <c r="B103" s="117">
        <v>8</v>
      </c>
      <c r="C103" s="124" t="s">
        <v>95</v>
      </c>
      <c r="D103" s="119">
        <f>IF(Site_Delivery_Systems="Y",0,IF('System Typical BOM Translator'!$I69&gt;0,'System Typical BOM Translator'!$I69*VLOOKUP('System Typicals @ Industry Std'!$B103,Systems_National_Industry_Standards,9),0))</f>
        <v>0</v>
      </c>
      <c r="E103" s="119">
        <f>IF(Site_Delivery_Systems="Y",0,IF('System Typical BOM Translator'!$I69&gt;0,'System Typical BOM Translator'!$I69*VLOOKUP('System Typicals @ Industry Std'!$B103,Systems_National_Industry_Standards,10),0))</f>
        <v>0</v>
      </c>
      <c r="F103" s="119">
        <f>IF('System Typical BOM Translator'!$I69&gt;0,'System Typical BOM Translator'!$I69*VLOOKUP('System Typicals @ Industry Std'!$B103,Systems_National_Industry_Standards,12),0)</f>
        <v>0</v>
      </c>
      <c r="G103" s="119">
        <f>IF('System Typical BOM Translator'!$I69&gt;0,'System Typical BOM Translator'!$I69*VLOOKUP('System Typicals @ Industry Std'!$B103,Systems_National_Industry_Standards,13),0)</f>
        <v>0</v>
      </c>
      <c r="H103" s="119">
        <f>IF('System Typical BOM Translator'!$I69&gt;0,'System Typical BOM Translator'!$I69*VLOOKUP('System Typicals @ Industry Std'!$B103,Systems_National_Industry_Standards,15),0)</f>
        <v>0</v>
      </c>
      <c r="I103" s="119">
        <f>IF('System Typical BOM Translator'!$I69&gt;0,'System Typical BOM Translator'!$I69*VLOOKUP('System Typicals @ Industry Std'!$B103,Systems_National_Industry_Standards,16),0)</f>
        <v>0</v>
      </c>
      <c r="J103" s="119">
        <f>IF('System Typical BOM Translator'!$I69&gt;0,'System Typical BOM Translator'!$I69*VLOOKUP('System Typicals @ Industry Std'!$B103,Systems_National_Industry_Standards,8),0)</f>
        <v>0</v>
      </c>
      <c r="K103" s="119">
        <f>IF('System Typical BOM Translator'!$I69&gt;0,'System Typical BOM Translator'!$I69*VLOOKUP('System Typicals @ Industry Std'!$B103,Systems_National_Industry_Standards,7),0)</f>
        <v>0</v>
      </c>
      <c r="L103" s="117"/>
      <c r="M103" s="119">
        <f t="shared" si="51"/>
        <v>0</v>
      </c>
      <c r="N103" s="119">
        <f t="shared" si="52"/>
        <v>0</v>
      </c>
      <c r="O103" s="119">
        <f t="shared" si="53"/>
        <v>0</v>
      </c>
      <c r="P103" s="119">
        <f t="shared" si="54"/>
        <v>0</v>
      </c>
      <c r="Q103" s="119">
        <f t="shared" si="55"/>
        <v>0</v>
      </c>
      <c r="R103" s="119">
        <f t="shared" si="56"/>
        <v>0</v>
      </c>
      <c r="S103" s="121">
        <f t="shared" si="57"/>
        <v>0</v>
      </c>
      <c r="T103" s="121">
        <f t="shared" si="58"/>
        <v>0</v>
      </c>
      <c r="U103" s="117"/>
      <c r="V103" s="175"/>
      <c r="W103" s="175"/>
      <c r="X103" s="175"/>
      <c r="Y103" s="175"/>
      <c r="Z103" s="175"/>
      <c r="AA103" s="175"/>
    </row>
    <row r="104" spans="2:27" x14ac:dyDescent="0.15">
      <c r="B104" s="117">
        <v>9</v>
      </c>
      <c r="C104" s="124" t="s">
        <v>142</v>
      </c>
      <c r="D104" s="119">
        <f>IF(Site_Delivery_Systems="Y",0,IF('System Typical BOM Translator'!$I70&gt;0,'System Typical BOM Translator'!$I70*VLOOKUP('System Typicals @ Industry Std'!$B104,Systems_National_Industry_Standards,9),0))</f>
        <v>0</v>
      </c>
      <c r="E104" s="119">
        <f>IF(Site_Delivery_Systems="Y",0,IF('System Typical BOM Translator'!$I70&gt;0,'System Typical BOM Translator'!$I70*VLOOKUP('System Typicals @ Industry Std'!$B104,Systems_National_Industry_Standards,10),0))</f>
        <v>0</v>
      </c>
      <c r="F104" s="119">
        <f>IF('System Typical BOM Translator'!$I70&gt;0,'System Typical BOM Translator'!$I70*VLOOKUP('System Typicals @ Industry Std'!$B104,Systems_National_Industry_Standards,12),0)</f>
        <v>0</v>
      </c>
      <c r="G104" s="119">
        <f>IF('System Typical BOM Translator'!$I70&gt;0,'System Typical BOM Translator'!$I70*VLOOKUP('System Typicals @ Industry Std'!$B104,Systems_National_Industry_Standards,13),0)</f>
        <v>0</v>
      </c>
      <c r="H104" s="119">
        <f>IF('System Typical BOM Translator'!$I70&gt;0,'System Typical BOM Translator'!$I70*VLOOKUP('System Typicals @ Industry Std'!$B104,Systems_National_Industry_Standards,15),0)</f>
        <v>0</v>
      </c>
      <c r="I104" s="119">
        <f>IF('System Typical BOM Translator'!$I70&gt;0,'System Typical BOM Translator'!$I70*VLOOKUP('System Typicals @ Industry Std'!$B104,Systems_National_Industry_Standards,16),0)</f>
        <v>0</v>
      </c>
      <c r="J104" s="119">
        <f>IF('System Typical BOM Translator'!$I70&gt;0,'System Typical BOM Translator'!$I70*VLOOKUP('System Typicals @ Industry Std'!$B104,Systems_National_Industry_Standards,8),0)</f>
        <v>0</v>
      </c>
      <c r="K104" s="119">
        <f>IF('System Typical BOM Translator'!$I70&gt;0,'System Typical BOM Translator'!$I70*VLOOKUP('System Typicals @ Industry Std'!$B104,Systems_National_Industry_Standards,7),0)</f>
        <v>0</v>
      </c>
      <c r="L104" s="117"/>
      <c r="M104" s="119">
        <f t="shared" si="51"/>
        <v>0</v>
      </c>
      <c r="N104" s="119">
        <f t="shared" si="52"/>
        <v>0</v>
      </c>
      <c r="O104" s="119">
        <f t="shared" si="53"/>
        <v>0</v>
      </c>
      <c r="P104" s="119">
        <f t="shared" si="54"/>
        <v>0</v>
      </c>
      <c r="Q104" s="119">
        <f t="shared" si="55"/>
        <v>0</v>
      </c>
      <c r="R104" s="119">
        <f t="shared" si="56"/>
        <v>0</v>
      </c>
      <c r="S104" s="121">
        <f t="shared" si="57"/>
        <v>0</v>
      </c>
      <c r="T104" s="121">
        <f t="shared" si="58"/>
        <v>0</v>
      </c>
      <c r="U104" s="117"/>
      <c r="V104" s="175"/>
      <c r="W104" s="175"/>
      <c r="X104" s="175"/>
      <c r="Y104" s="175"/>
      <c r="Z104" s="175"/>
      <c r="AA104" s="175"/>
    </row>
    <row r="105" spans="2:27" x14ac:dyDescent="0.15">
      <c r="B105" s="117">
        <v>10</v>
      </c>
      <c r="C105" s="124" t="s">
        <v>138</v>
      </c>
      <c r="D105" s="119">
        <f>IF(Site_Delivery_Systems="Y",0,IF('System Typical BOM Translator'!$I71&gt;0,'System Typical BOM Translator'!$I71*VLOOKUP('System Typicals @ Industry Std'!$B105,Systems_National_Industry_Standards,9),0))</f>
        <v>0</v>
      </c>
      <c r="E105" s="119">
        <f>IF(Site_Delivery_Systems="Y",0,IF('System Typical BOM Translator'!$I71&gt;0,'System Typical BOM Translator'!$I71*VLOOKUP('System Typicals @ Industry Std'!$B105,Systems_National_Industry_Standards,10),0))</f>
        <v>0</v>
      </c>
      <c r="F105" s="119">
        <f>IF('System Typical BOM Translator'!$I71&gt;0,'System Typical BOM Translator'!$I71*VLOOKUP('System Typicals @ Industry Std'!$B105,Systems_National_Industry_Standards,12),0)</f>
        <v>0</v>
      </c>
      <c r="G105" s="119">
        <f>IF('System Typical BOM Translator'!$I71&gt;0,'System Typical BOM Translator'!$I71*VLOOKUP('System Typicals @ Industry Std'!$B105,Systems_National_Industry_Standards,13),0)</f>
        <v>0</v>
      </c>
      <c r="H105" s="119">
        <f>IF('System Typical BOM Translator'!$I71&gt;0,'System Typical BOM Translator'!$I71*VLOOKUP('System Typicals @ Industry Std'!$B105,Systems_National_Industry_Standards,15),0)</f>
        <v>0</v>
      </c>
      <c r="I105" s="119">
        <f>IF('System Typical BOM Translator'!$I71&gt;0,'System Typical BOM Translator'!$I71*VLOOKUP('System Typicals @ Industry Std'!$B105,Systems_National_Industry_Standards,16),0)</f>
        <v>0</v>
      </c>
      <c r="J105" s="119">
        <f>IF('System Typical BOM Translator'!$I71&gt;0,'System Typical BOM Translator'!$I71*VLOOKUP('System Typicals @ Industry Std'!$B105,Systems_National_Industry_Standards,8),0)</f>
        <v>0</v>
      </c>
      <c r="K105" s="119">
        <f>IF('System Typical BOM Translator'!$I71&gt;0,'System Typical BOM Translator'!$I71*VLOOKUP('System Typicals @ Industry Std'!$B105,Systems_National_Industry_Standards,7),0)</f>
        <v>0</v>
      </c>
      <c r="L105" s="117"/>
      <c r="M105" s="119">
        <f t="shared" si="51"/>
        <v>0</v>
      </c>
      <c r="N105" s="119">
        <f t="shared" si="52"/>
        <v>0</v>
      </c>
      <c r="O105" s="119">
        <f t="shared" si="53"/>
        <v>0</v>
      </c>
      <c r="P105" s="119">
        <f t="shared" si="54"/>
        <v>0</v>
      </c>
      <c r="Q105" s="119">
        <f t="shared" si="55"/>
        <v>0</v>
      </c>
      <c r="R105" s="119">
        <f t="shared" si="56"/>
        <v>0</v>
      </c>
      <c r="S105" s="121">
        <f t="shared" si="57"/>
        <v>0</v>
      </c>
      <c r="T105" s="121">
        <f t="shared" si="58"/>
        <v>0</v>
      </c>
      <c r="U105" s="117"/>
      <c r="V105" s="175"/>
      <c r="W105" s="175"/>
      <c r="X105" s="175"/>
      <c r="Y105" s="175"/>
      <c r="Z105" s="175"/>
      <c r="AA105" s="175"/>
    </row>
    <row r="106" spans="2:27" x14ac:dyDescent="0.15">
      <c r="B106" s="117">
        <v>11</v>
      </c>
      <c r="C106" s="124" t="s">
        <v>141</v>
      </c>
      <c r="D106" s="119">
        <f>IF(Site_Delivery_Systems="Y",0,IF('System Typical BOM Translator'!$I72&gt;0,'System Typical BOM Translator'!$I72*VLOOKUP('System Typicals @ Industry Std'!$B106,Systems_National_Industry_Standards,9),0))</f>
        <v>0</v>
      </c>
      <c r="E106" s="119">
        <f>IF(Site_Delivery_Systems="Y",0,IF('System Typical BOM Translator'!$I72&gt;0,'System Typical BOM Translator'!$I72*VLOOKUP('System Typicals @ Industry Std'!$B106,Systems_National_Industry_Standards,10),0))</f>
        <v>0</v>
      </c>
      <c r="F106" s="119">
        <f>IF('System Typical BOM Translator'!$I72&gt;0,'System Typical BOM Translator'!$I72*VLOOKUP('System Typicals @ Industry Std'!$B106,Systems_National_Industry_Standards,12),0)</f>
        <v>0</v>
      </c>
      <c r="G106" s="119">
        <f>IF('System Typical BOM Translator'!$I72&gt;0,'System Typical BOM Translator'!$I72*VLOOKUP('System Typicals @ Industry Std'!$B106,Systems_National_Industry_Standards,13),0)</f>
        <v>0</v>
      </c>
      <c r="H106" s="119">
        <f>IF('System Typical BOM Translator'!$I72&gt;0,'System Typical BOM Translator'!$I72*VLOOKUP('System Typicals @ Industry Std'!$B106,Systems_National_Industry_Standards,15),0)</f>
        <v>0</v>
      </c>
      <c r="I106" s="119">
        <f>IF('System Typical BOM Translator'!$I72&gt;0,'System Typical BOM Translator'!$I72*VLOOKUP('System Typicals @ Industry Std'!$B106,Systems_National_Industry_Standards,16),0)</f>
        <v>0</v>
      </c>
      <c r="J106" s="119">
        <f>IF('System Typical BOM Translator'!$I72&gt;0,'System Typical BOM Translator'!$I72*VLOOKUP('System Typicals @ Industry Std'!$B106,Systems_National_Industry_Standards,8),0)</f>
        <v>0</v>
      </c>
      <c r="K106" s="119">
        <f>IF('System Typical BOM Translator'!$I72&gt;0,'System Typical BOM Translator'!$I72*VLOOKUP('System Typicals @ Industry Std'!$B106,Systems_National_Industry_Standards,7),0)</f>
        <v>0</v>
      </c>
      <c r="L106" s="117"/>
      <c r="M106" s="119">
        <f t="shared" si="51"/>
        <v>0</v>
      </c>
      <c r="N106" s="119">
        <f t="shared" si="52"/>
        <v>0</v>
      </c>
      <c r="O106" s="119">
        <f t="shared" si="53"/>
        <v>0</v>
      </c>
      <c r="P106" s="119">
        <f t="shared" si="54"/>
        <v>0</v>
      </c>
      <c r="Q106" s="119">
        <f t="shared" si="55"/>
        <v>0</v>
      </c>
      <c r="R106" s="119">
        <f t="shared" si="56"/>
        <v>0</v>
      </c>
      <c r="S106" s="121">
        <f t="shared" si="57"/>
        <v>0</v>
      </c>
      <c r="T106" s="121">
        <f t="shared" si="58"/>
        <v>0</v>
      </c>
      <c r="U106" s="117"/>
      <c r="V106" s="175"/>
      <c r="W106" s="175"/>
      <c r="X106" s="175"/>
      <c r="Y106" s="175"/>
      <c r="Z106" s="175"/>
      <c r="AA106" s="175"/>
    </row>
    <row r="107" spans="2:27" x14ac:dyDescent="0.15">
      <c r="B107" s="117">
        <v>12</v>
      </c>
      <c r="C107" s="124" t="s">
        <v>96</v>
      </c>
      <c r="D107" s="119">
        <f>IF(Site_Delivery_Systems="Y",0,IF('System Typical BOM Translator'!$I73&gt;0,'System Typical BOM Translator'!$I73*VLOOKUP('System Typicals @ Industry Std'!$B107,Systems_National_Industry_Standards,9),0))</f>
        <v>0</v>
      </c>
      <c r="E107" s="119">
        <f>IF(Site_Delivery_Systems="Y",0,IF('System Typical BOM Translator'!$I73&gt;0,'System Typical BOM Translator'!$I73*VLOOKUP('System Typicals @ Industry Std'!$B107,Systems_National_Industry_Standards,10),0))</f>
        <v>0</v>
      </c>
      <c r="F107" s="119">
        <f>IF('System Typical BOM Translator'!$I73&gt;0,'System Typical BOM Translator'!$I73*VLOOKUP('System Typicals @ Industry Std'!$B107,Systems_National_Industry_Standards,12),0)</f>
        <v>0</v>
      </c>
      <c r="G107" s="119">
        <f>IF('System Typical BOM Translator'!$I73&gt;0,'System Typical BOM Translator'!$I73*VLOOKUP('System Typicals @ Industry Std'!$B107,Systems_National_Industry_Standards,13),0)</f>
        <v>0</v>
      </c>
      <c r="H107" s="119">
        <f>IF('System Typical BOM Translator'!$I73&gt;0,'System Typical BOM Translator'!$I73*VLOOKUP('System Typicals @ Industry Std'!$B107,Systems_National_Industry_Standards,15),0)</f>
        <v>0</v>
      </c>
      <c r="I107" s="119">
        <f>IF('System Typical BOM Translator'!$I73&gt;0,'System Typical BOM Translator'!$I73*VLOOKUP('System Typicals @ Industry Std'!$B107,Systems_National_Industry_Standards,16),0)</f>
        <v>0</v>
      </c>
      <c r="J107" s="119">
        <f>IF('System Typical BOM Translator'!$I73&gt;0,'System Typical BOM Translator'!$I73*VLOOKUP('System Typicals @ Industry Std'!$B107,Systems_National_Industry_Standards,8),0)</f>
        <v>0</v>
      </c>
      <c r="K107" s="119">
        <f>IF('System Typical BOM Translator'!$I73&gt;0,'System Typical BOM Translator'!$I73*VLOOKUP('System Typicals @ Industry Std'!$B107,Systems_National_Industry_Standards,7),0)</f>
        <v>0</v>
      </c>
      <c r="L107" s="117"/>
      <c r="M107" s="119">
        <f t="shared" si="51"/>
        <v>0</v>
      </c>
      <c r="N107" s="119">
        <f t="shared" si="52"/>
        <v>0</v>
      </c>
      <c r="O107" s="119">
        <f t="shared" si="53"/>
        <v>0</v>
      </c>
      <c r="P107" s="119">
        <f t="shared" si="54"/>
        <v>0</v>
      </c>
      <c r="Q107" s="119">
        <f t="shared" si="55"/>
        <v>0</v>
      </c>
      <c r="R107" s="119">
        <f t="shared" si="56"/>
        <v>0</v>
      </c>
      <c r="S107" s="121">
        <f t="shared" si="57"/>
        <v>0</v>
      </c>
      <c r="T107" s="121">
        <f t="shared" si="58"/>
        <v>0</v>
      </c>
      <c r="U107" s="117"/>
      <c r="V107" s="175"/>
      <c r="W107" s="175"/>
      <c r="X107" s="175"/>
      <c r="Y107" s="175"/>
      <c r="Z107" s="175"/>
      <c r="AA107" s="175"/>
    </row>
    <row r="108" spans="2:27" x14ac:dyDescent="0.15">
      <c r="B108" s="117">
        <v>13</v>
      </c>
      <c r="C108" s="124" t="s">
        <v>97</v>
      </c>
      <c r="D108" s="119">
        <f>IF(Site_Delivery_Systems="Y",0,IF('System Typical BOM Translator'!$I74&gt;0,'System Typical BOM Translator'!$I74*VLOOKUP('System Typicals @ Industry Std'!$B108,Systems_National_Industry_Standards,9),0))</f>
        <v>0</v>
      </c>
      <c r="E108" s="119">
        <f>IF(Site_Delivery_Systems="Y",0,IF('System Typical BOM Translator'!$I74&gt;0,'System Typical BOM Translator'!$I74*VLOOKUP('System Typicals @ Industry Std'!$B108,Systems_National_Industry_Standards,10),0))</f>
        <v>0</v>
      </c>
      <c r="F108" s="119">
        <f>IF('System Typical BOM Translator'!$I74&gt;0,'System Typical BOM Translator'!$I74*VLOOKUP('System Typicals @ Industry Std'!$B108,Systems_National_Industry_Standards,12),0)</f>
        <v>0</v>
      </c>
      <c r="G108" s="119">
        <f>IF('System Typical BOM Translator'!$I74&gt;0,'System Typical BOM Translator'!$I74*VLOOKUP('System Typicals @ Industry Std'!$B108,Systems_National_Industry_Standards,13),0)</f>
        <v>0</v>
      </c>
      <c r="H108" s="119">
        <f>IF('System Typical BOM Translator'!$I74&gt;0,'System Typical BOM Translator'!$I74*VLOOKUP('System Typicals @ Industry Std'!$B108,Systems_National_Industry_Standards,15),0)</f>
        <v>0</v>
      </c>
      <c r="I108" s="119">
        <f>IF('System Typical BOM Translator'!$I74&gt;0,'System Typical BOM Translator'!$I74*VLOOKUP('System Typicals @ Industry Std'!$B108,Systems_National_Industry_Standards,16),0)</f>
        <v>0</v>
      </c>
      <c r="J108" s="119">
        <f>IF('System Typical BOM Translator'!$I74&gt;0,'System Typical BOM Translator'!$I74*VLOOKUP('System Typicals @ Industry Std'!$B108,Systems_National_Industry_Standards,8),0)</f>
        <v>0</v>
      </c>
      <c r="K108" s="119">
        <f>IF('System Typical BOM Translator'!$I74&gt;0,'System Typical BOM Translator'!$I74*VLOOKUP('System Typicals @ Industry Std'!$B108,Systems_National_Industry_Standards,7),0)</f>
        <v>0</v>
      </c>
      <c r="L108" s="117"/>
      <c r="M108" s="119">
        <f t="shared" si="51"/>
        <v>0</v>
      </c>
      <c r="N108" s="119">
        <f t="shared" si="52"/>
        <v>0</v>
      </c>
      <c r="O108" s="119">
        <f t="shared" si="53"/>
        <v>0</v>
      </c>
      <c r="P108" s="119">
        <f t="shared" si="54"/>
        <v>0</v>
      </c>
      <c r="Q108" s="119">
        <f t="shared" si="55"/>
        <v>0</v>
      </c>
      <c r="R108" s="119">
        <f t="shared" si="56"/>
        <v>0</v>
      </c>
      <c r="S108" s="121">
        <f t="shared" si="57"/>
        <v>0</v>
      </c>
      <c r="T108" s="121">
        <f t="shared" si="58"/>
        <v>0</v>
      </c>
      <c r="U108" s="117"/>
      <c r="V108" s="175"/>
      <c r="W108" s="175"/>
      <c r="X108" s="175"/>
      <c r="Y108" s="175"/>
      <c r="Z108" s="175"/>
      <c r="AA108" s="175"/>
    </row>
    <row r="109" spans="2:27" x14ac:dyDescent="0.15">
      <c r="B109" s="117">
        <v>14</v>
      </c>
      <c r="C109" s="124" t="s">
        <v>102</v>
      </c>
      <c r="D109" s="119">
        <f>IF(Site_Delivery_Systems="Y",0,IF('System Typical BOM Translator'!$I75&gt;0,'System Typical BOM Translator'!$I75*VLOOKUP('System Typicals @ Industry Std'!$B109,Systems_National_Industry_Standards,9),0))</f>
        <v>0</v>
      </c>
      <c r="E109" s="119">
        <f>IF(Site_Delivery_Systems="Y",0,IF('System Typical BOM Translator'!$I75&gt;0,'System Typical BOM Translator'!$I75*VLOOKUP('System Typicals @ Industry Std'!$B109,Systems_National_Industry_Standards,10),0))</f>
        <v>0</v>
      </c>
      <c r="F109" s="119">
        <f>IF('System Typical BOM Translator'!$I75&gt;0,'System Typical BOM Translator'!$I75*VLOOKUP('System Typicals @ Industry Std'!$B109,Systems_National_Industry_Standards,12),0)</f>
        <v>0</v>
      </c>
      <c r="G109" s="119">
        <f>IF('System Typical BOM Translator'!$I75&gt;0,'System Typical BOM Translator'!$I75*VLOOKUP('System Typicals @ Industry Std'!$B109,Systems_National_Industry_Standards,13),0)</f>
        <v>0</v>
      </c>
      <c r="H109" s="119">
        <f>IF('System Typical BOM Translator'!$I75&gt;0,'System Typical BOM Translator'!$I75*VLOOKUP('System Typicals @ Industry Std'!$B109,Systems_National_Industry_Standards,15),0)</f>
        <v>0</v>
      </c>
      <c r="I109" s="119">
        <f>IF('System Typical BOM Translator'!$I75&gt;0,'System Typical BOM Translator'!$I75*VLOOKUP('System Typicals @ Industry Std'!$B109,Systems_National_Industry_Standards,16),0)</f>
        <v>0</v>
      </c>
      <c r="J109" s="119">
        <f>IF('System Typical BOM Translator'!$I75&gt;0,'System Typical BOM Translator'!$I75*VLOOKUP('System Typicals @ Industry Std'!$B109,Systems_National_Industry_Standards,8),0)</f>
        <v>0</v>
      </c>
      <c r="K109" s="119">
        <f>IF('System Typical BOM Translator'!$I75&gt;0,'System Typical BOM Translator'!$I75*VLOOKUP('System Typicals @ Industry Std'!$B109,Systems_National_Industry_Standards,7),0)</f>
        <v>0</v>
      </c>
      <c r="L109" s="117"/>
      <c r="M109" s="119">
        <f t="shared" si="51"/>
        <v>0</v>
      </c>
      <c r="N109" s="119">
        <f t="shared" si="52"/>
        <v>0</v>
      </c>
      <c r="O109" s="119">
        <f t="shared" si="53"/>
        <v>0</v>
      </c>
      <c r="P109" s="119">
        <f t="shared" si="54"/>
        <v>0</v>
      </c>
      <c r="Q109" s="119">
        <f t="shared" si="55"/>
        <v>0</v>
      </c>
      <c r="R109" s="119">
        <f t="shared" si="56"/>
        <v>0</v>
      </c>
      <c r="S109" s="121">
        <f t="shared" si="57"/>
        <v>0</v>
      </c>
      <c r="T109" s="121">
        <f t="shared" si="58"/>
        <v>0</v>
      </c>
      <c r="U109" s="117"/>
      <c r="V109" s="175"/>
      <c r="W109" s="175"/>
      <c r="X109" s="175"/>
      <c r="Y109" s="175"/>
      <c r="Z109" s="175"/>
      <c r="AA109" s="175"/>
    </row>
    <row r="110" spans="2:27" ht="14" thickBot="1" x14ac:dyDescent="0.2">
      <c r="C110" s="109" t="s">
        <v>107</v>
      </c>
      <c r="D110" s="125">
        <f t="shared" ref="D110:K110" si="59">SUM(D96:D109)</f>
        <v>0</v>
      </c>
      <c r="E110" s="125">
        <f t="shared" si="59"/>
        <v>0</v>
      </c>
      <c r="F110" s="125">
        <f t="shared" si="59"/>
        <v>0</v>
      </c>
      <c r="G110" s="125">
        <f t="shared" si="59"/>
        <v>0</v>
      </c>
      <c r="H110" s="125">
        <f t="shared" si="59"/>
        <v>0</v>
      </c>
      <c r="I110" s="125">
        <f t="shared" si="59"/>
        <v>0</v>
      </c>
      <c r="J110" s="125">
        <f t="shared" si="59"/>
        <v>0</v>
      </c>
      <c r="K110" s="125">
        <f t="shared" si="59"/>
        <v>0</v>
      </c>
      <c r="M110" s="125">
        <f t="shared" ref="M110:T110" si="60">SUM(M96:M109)</f>
        <v>0</v>
      </c>
      <c r="N110" s="125">
        <f t="shared" si="60"/>
        <v>0</v>
      </c>
      <c r="O110" s="125">
        <f t="shared" si="60"/>
        <v>0</v>
      </c>
      <c r="P110" s="125">
        <f t="shared" si="60"/>
        <v>0</v>
      </c>
      <c r="Q110" s="125">
        <f t="shared" si="60"/>
        <v>0</v>
      </c>
      <c r="R110" s="125">
        <f t="shared" si="60"/>
        <v>0</v>
      </c>
      <c r="S110" s="125">
        <f t="shared" si="60"/>
        <v>0</v>
      </c>
      <c r="T110" s="125">
        <f t="shared" si="60"/>
        <v>0</v>
      </c>
      <c r="U110" s="125">
        <f>T110/950</f>
        <v>0</v>
      </c>
      <c r="V110" s="190">
        <f>IF(Typical_6_Qty="",0,IF(Typical_6_Qty=0,0,SUM(M110:N110)/Typical_6_Qty))</f>
        <v>0</v>
      </c>
      <c r="W110" s="190">
        <f>IF(Typical_6_Qty="",0,IF(Typical_6_Qty=0,0,SUM(O110:P110)/Typical_6_Qty))</f>
        <v>0</v>
      </c>
      <c r="X110" s="190">
        <f>IF(Typical_6_Qty="",0,IF(Typical_6_Qty=0,0,SUM(Q110)/Typical_6_Qty))</f>
        <v>0</v>
      </c>
      <c r="Y110" s="190">
        <f>IF(Typical_6_Qty="",0,IF(Typical_6_Qty=0,0,SUM(R110)/Typical_6_Qty))</f>
        <v>0</v>
      </c>
      <c r="Z110" s="190">
        <f>SUM(W110:Y110)</f>
        <v>0</v>
      </c>
      <c r="AA110" s="190">
        <f>Z110+V110</f>
        <v>0</v>
      </c>
    </row>
    <row r="111" spans="2:27" ht="15" thickTop="1" thickBot="1" x14ac:dyDescent="0.2"/>
    <row r="112" spans="2:27" ht="17" thickBot="1" x14ac:dyDescent="0.25">
      <c r="D112" s="581" t="s">
        <v>129</v>
      </c>
      <c r="E112" s="582"/>
      <c r="F112" s="582"/>
      <c r="G112" s="582"/>
      <c r="H112" s="582"/>
      <c r="I112" s="582"/>
      <c r="J112" s="582"/>
      <c r="K112" s="583"/>
      <c r="M112" s="581" t="s">
        <v>129</v>
      </c>
      <c r="N112" s="582"/>
      <c r="O112" s="582"/>
      <c r="P112" s="582"/>
      <c r="Q112" s="582"/>
      <c r="R112" s="582"/>
      <c r="S112" s="582"/>
      <c r="T112" s="583"/>
    </row>
    <row r="113" spans="2:27" ht="52" x14ac:dyDescent="0.15">
      <c r="C113" s="113" t="s">
        <v>122</v>
      </c>
      <c r="D113" s="114" t="s">
        <v>275</v>
      </c>
      <c r="E113" s="114" t="s">
        <v>276</v>
      </c>
      <c r="F113" s="114" t="s">
        <v>277</v>
      </c>
      <c r="G113" s="114" t="s">
        <v>278</v>
      </c>
      <c r="H113" s="114" t="s">
        <v>285</v>
      </c>
      <c r="I113" s="114" t="s">
        <v>286</v>
      </c>
      <c r="J113" s="114" t="s">
        <v>105</v>
      </c>
      <c r="K113" s="114" t="s">
        <v>104</v>
      </c>
      <c r="M113" s="115" t="s">
        <v>279</v>
      </c>
      <c r="N113" s="115" t="s">
        <v>280</v>
      </c>
      <c r="O113" s="115" t="s">
        <v>281</v>
      </c>
      <c r="P113" s="115" t="s">
        <v>282</v>
      </c>
      <c r="Q113" s="115" t="s">
        <v>283</v>
      </c>
      <c r="R113" s="115" t="s">
        <v>284</v>
      </c>
      <c r="S113" s="114" t="s">
        <v>105</v>
      </c>
      <c r="T113" s="114" t="s">
        <v>104</v>
      </c>
      <c r="V113" s="189" t="s">
        <v>290</v>
      </c>
      <c r="W113" s="189" t="s">
        <v>287</v>
      </c>
      <c r="X113" s="189" t="s">
        <v>289</v>
      </c>
      <c r="Y113" s="189" t="s">
        <v>288</v>
      </c>
      <c r="Z113" s="189" t="s">
        <v>291</v>
      </c>
      <c r="AA113" s="189" t="s">
        <v>291</v>
      </c>
    </row>
    <row r="114" spans="2:27" x14ac:dyDescent="0.15">
      <c r="B114" s="117">
        <v>1</v>
      </c>
      <c r="C114" s="118" t="s">
        <v>165</v>
      </c>
      <c r="D114" s="119">
        <f t="shared" ref="D114:K127" si="61">D6+D24+D42+D60+D78+D96</f>
        <v>0</v>
      </c>
      <c r="E114" s="119">
        <f t="shared" si="61"/>
        <v>0</v>
      </c>
      <c r="F114" s="119">
        <f t="shared" si="61"/>
        <v>0</v>
      </c>
      <c r="G114" s="119">
        <f t="shared" ref="G114:G127" si="62">G6+G24+G42+G60+G78+G96</f>
        <v>0</v>
      </c>
      <c r="H114" s="119">
        <f t="shared" si="61"/>
        <v>0</v>
      </c>
      <c r="I114" s="119">
        <f t="shared" si="61"/>
        <v>0</v>
      </c>
      <c r="J114" s="119">
        <f t="shared" si="61"/>
        <v>0</v>
      </c>
      <c r="K114" s="119">
        <f t="shared" si="61"/>
        <v>0</v>
      </c>
      <c r="L114" s="120"/>
      <c r="M114" s="119">
        <f t="shared" ref="M114:R114" si="63">D114/60</f>
        <v>0</v>
      </c>
      <c r="N114" s="119">
        <f t="shared" si="63"/>
        <v>0</v>
      </c>
      <c r="O114" s="119">
        <f t="shared" si="63"/>
        <v>0</v>
      </c>
      <c r="P114" s="119">
        <f t="shared" si="63"/>
        <v>0</v>
      </c>
      <c r="Q114" s="119">
        <f t="shared" si="63"/>
        <v>0</v>
      </c>
      <c r="R114" s="119">
        <f t="shared" si="63"/>
        <v>0</v>
      </c>
      <c r="S114" s="121">
        <f>J114</f>
        <v>0</v>
      </c>
      <c r="T114" s="121">
        <f>K114</f>
        <v>0</v>
      </c>
      <c r="U114" s="117"/>
      <c r="V114" s="175"/>
      <c r="W114" s="175"/>
      <c r="X114" s="175"/>
      <c r="Y114" s="175"/>
      <c r="Z114" s="175"/>
      <c r="AA114" s="175"/>
    </row>
    <row r="115" spans="2:27" x14ac:dyDescent="0.15">
      <c r="B115" s="117">
        <v>2</v>
      </c>
      <c r="C115" s="118" t="s">
        <v>166</v>
      </c>
      <c r="D115" s="119">
        <f t="shared" si="61"/>
        <v>0</v>
      </c>
      <c r="E115" s="119">
        <f t="shared" si="61"/>
        <v>0</v>
      </c>
      <c r="F115" s="119">
        <f t="shared" si="61"/>
        <v>0</v>
      </c>
      <c r="G115" s="119">
        <f t="shared" si="62"/>
        <v>0</v>
      </c>
      <c r="H115" s="119">
        <f t="shared" si="61"/>
        <v>0</v>
      </c>
      <c r="I115" s="119">
        <f t="shared" si="61"/>
        <v>0</v>
      </c>
      <c r="J115" s="119">
        <f t="shared" si="61"/>
        <v>0</v>
      </c>
      <c r="K115" s="119">
        <f t="shared" si="61"/>
        <v>0</v>
      </c>
      <c r="L115" s="117"/>
      <c r="M115" s="119">
        <f t="shared" ref="M115:M127" si="64">D115/60</f>
        <v>0</v>
      </c>
      <c r="N115" s="119">
        <f t="shared" ref="N115:N127" si="65">E115/60</f>
        <v>0</v>
      </c>
      <c r="O115" s="119">
        <f t="shared" ref="O115:O127" si="66">F115/60</f>
        <v>0</v>
      </c>
      <c r="P115" s="119">
        <f t="shared" ref="P115:P127" si="67">G115/60</f>
        <v>0</v>
      </c>
      <c r="Q115" s="119">
        <f t="shared" ref="Q115:Q127" si="68">H115/60</f>
        <v>0</v>
      </c>
      <c r="R115" s="119">
        <f t="shared" ref="R115:R127" si="69">I115/60</f>
        <v>0</v>
      </c>
      <c r="S115" s="121">
        <f t="shared" ref="S115:S127" si="70">J115</f>
        <v>0</v>
      </c>
      <c r="T115" s="121">
        <f t="shared" ref="T115:T127" si="71">K115</f>
        <v>0</v>
      </c>
      <c r="U115" s="117"/>
      <c r="V115" s="175"/>
      <c r="W115" s="175"/>
      <c r="X115" s="175"/>
      <c r="Y115" s="175"/>
      <c r="Z115" s="175"/>
      <c r="AA115" s="175"/>
    </row>
    <row r="116" spans="2:27" x14ac:dyDescent="0.15">
      <c r="B116" s="117">
        <v>3</v>
      </c>
      <c r="C116" s="118" t="s">
        <v>140</v>
      </c>
      <c r="D116" s="119">
        <f t="shared" si="61"/>
        <v>0</v>
      </c>
      <c r="E116" s="119">
        <f t="shared" si="61"/>
        <v>0</v>
      </c>
      <c r="F116" s="119">
        <f t="shared" si="61"/>
        <v>0</v>
      </c>
      <c r="G116" s="119">
        <f t="shared" si="62"/>
        <v>0</v>
      </c>
      <c r="H116" s="119">
        <f t="shared" si="61"/>
        <v>0</v>
      </c>
      <c r="I116" s="119">
        <f t="shared" si="61"/>
        <v>0</v>
      </c>
      <c r="J116" s="119">
        <f t="shared" si="61"/>
        <v>0</v>
      </c>
      <c r="K116" s="119">
        <f t="shared" si="61"/>
        <v>0</v>
      </c>
      <c r="L116" s="122"/>
      <c r="M116" s="119">
        <f t="shared" si="64"/>
        <v>0</v>
      </c>
      <c r="N116" s="119">
        <f t="shared" si="65"/>
        <v>0</v>
      </c>
      <c r="O116" s="119">
        <f t="shared" si="66"/>
        <v>0</v>
      </c>
      <c r="P116" s="119">
        <f t="shared" si="67"/>
        <v>0</v>
      </c>
      <c r="Q116" s="119">
        <f t="shared" si="68"/>
        <v>0</v>
      </c>
      <c r="R116" s="119">
        <f t="shared" si="69"/>
        <v>0</v>
      </c>
      <c r="S116" s="121">
        <f t="shared" si="70"/>
        <v>0</v>
      </c>
      <c r="T116" s="121">
        <f t="shared" si="71"/>
        <v>0</v>
      </c>
      <c r="U116" s="122"/>
      <c r="V116" s="175"/>
      <c r="W116" s="175"/>
      <c r="X116" s="175"/>
      <c r="Y116" s="175"/>
      <c r="Z116" s="175"/>
      <c r="AA116" s="175"/>
    </row>
    <row r="117" spans="2:27" x14ac:dyDescent="0.15">
      <c r="B117" s="117">
        <v>4</v>
      </c>
      <c r="C117" s="123" t="s">
        <v>168</v>
      </c>
      <c r="D117" s="119">
        <f t="shared" si="61"/>
        <v>0</v>
      </c>
      <c r="E117" s="119">
        <f t="shared" si="61"/>
        <v>0</v>
      </c>
      <c r="F117" s="119">
        <f t="shared" si="61"/>
        <v>0</v>
      </c>
      <c r="G117" s="119">
        <f t="shared" si="62"/>
        <v>0</v>
      </c>
      <c r="H117" s="119">
        <f t="shared" si="61"/>
        <v>0</v>
      </c>
      <c r="I117" s="119">
        <f t="shared" si="61"/>
        <v>0</v>
      </c>
      <c r="J117" s="119">
        <f t="shared" si="61"/>
        <v>0</v>
      </c>
      <c r="K117" s="119">
        <f t="shared" si="61"/>
        <v>0</v>
      </c>
      <c r="L117" s="122"/>
      <c r="M117" s="119">
        <f t="shared" si="64"/>
        <v>0</v>
      </c>
      <c r="N117" s="119">
        <f t="shared" si="65"/>
        <v>0</v>
      </c>
      <c r="O117" s="119">
        <f t="shared" si="66"/>
        <v>0</v>
      </c>
      <c r="P117" s="119">
        <f t="shared" si="67"/>
        <v>0</v>
      </c>
      <c r="Q117" s="119">
        <f t="shared" si="68"/>
        <v>0</v>
      </c>
      <c r="R117" s="119">
        <f t="shared" si="69"/>
        <v>0</v>
      </c>
      <c r="S117" s="121">
        <f t="shared" si="70"/>
        <v>0</v>
      </c>
      <c r="T117" s="121">
        <f t="shared" si="71"/>
        <v>0</v>
      </c>
      <c r="U117" s="122"/>
      <c r="V117" s="175"/>
      <c r="W117" s="175"/>
      <c r="X117" s="175"/>
      <c r="Y117" s="175"/>
      <c r="Z117" s="175"/>
      <c r="AA117" s="175"/>
    </row>
    <row r="118" spans="2:27" x14ac:dyDescent="0.15">
      <c r="B118" s="117">
        <v>5</v>
      </c>
      <c r="C118" s="124" t="s">
        <v>167</v>
      </c>
      <c r="D118" s="119">
        <f t="shared" si="61"/>
        <v>0</v>
      </c>
      <c r="E118" s="119">
        <f t="shared" si="61"/>
        <v>0</v>
      </c>
      <c r="F118" s="119">
        <f t="shared" si="61"/>
        <v>0</v>
      </c>
      <c r="G118" s="119">
        <f t="shared" si="62"/>
        <v>0</v>
      </c>
      <c r="H118" s="119">
        <f t="shared" si="61"/>
        <v>0</v>
      </c>
      <c r="I118" s="119">
        <f t="shared" si="61"/>
        <v>0</v>
      </c>
      <c r="J118" s="119">
        <f t="shared" si="61"/>
        <v>0</v>
      </c>
      <c r="K118" s="119">
        <f t="shared" si="61"/>
        <v>0</v>
      </c>
      <c r="L118" s="122"/>
      <c r="M118" s="119">
        <f t="shared" si="64"/>
        <v>0</v>
      </c>
      <c r="N118" s="119">
        <f t="shared" si="65"/>
        <v>0</v>
      </c>
      <c r="O118" s="119">
        <f t="shared" si="66"/>
        <v>0</v>
      </c>
      <c r="P118" s="119">
        <f t="shared" si="67"/>
        <v>0</v>
      </c>
      <c r="Q118" s="119">
        <f t="shared" si="68"/>
        <v>0</v>
      </c>
      <c r="R118" s="119">
        <f t="shared" si="69"/>
        <v>0</v>
      </c>
      <c r="S118" s="121">
        <f t="shared" si="70"/>
        <v>0</v>
      </c>
      <c r="T118" s="121">
        <f t="shared" si="71"/>
        <v>0</v>
      </c>
      <c r="U118" s="122"/>
      <c r="V118" s="175"/>
      <c r="W118" s="175"/>
      <c r="X118" s="175"/>
      <c r="Y118" s="175"/>
      <c r="Z118" s="175"/>
      <c r="AA118" s="175"/>
    </row>
    <row r="119" spans="2:27" x14ac:dyDescent="0.15">
      <c r="B119" s="117">
        <v>6</v>
      </c>
      <c r="C119" s="124" t="s">
        <v>164</v>
      </c>
      <c r="D119" s="119">
        <f t="shared" si="61"/>
        <v>0</v>
      </c>
      <c r="E119" s="119">
        <f t="shared" si="61"/>
        <v>0</v>
      </c>
      <c r="F119" s="119">
        <f t="shared" si="61"/>
        <v>0</v>
      </c>
      <c r="G119" s="119">
        <f t="shared" si="62"/>
        <v>0</v>
      </c>
      <c r="H119" s="119">
        <f t="shared" si="61"/>
        <v>0</v>
      </c>
      <c r="I119" s="119">
        <f t="shared" si="61"/>
        <v>0</v>
      </c>
      <c r="J119" s="119">
        <f t="shared" si="61"/>
        <v>0</v>
      </c>
      <c r="K119" s="119">
        <f t="shared" si="61"/>
        <v>0</v>
      </c>
      <c r="L119" s="122"/>
      <c r="M119" s="119">
        <f t="shared" si="64"/>
        <v>0</v>
      </c>
      <c r="N119" s="119">
        <f t="shared" si="65"/>
        <v>0</v>
      </c>
      <c r="O119" s="119">
        <f t="shared" si="66"/>
        <v>0</v>
      </c>
      <c r="P119" s="119">
        <f t="shared" si="67"/>
        <v>0</v>
      </c>
      <c r="Q119" s="119">
        <f t="shared" si="68"/>
        <v>0</v>
      </c>
      <c r="R119" s="119">
        <f t="shared" si="69"/>
        <v>0</v>
      </c>
      <c r="S119" s="121">
        <f t="shared" si="70"/>
        <v>0</v>
      </c>
      <c r="T119" s="121">
        <f t="shared" si="71"/>
        <v>0</v>
      </c>
      <c r="U119" s="122"/>
      <c r="V119" s="175"/>
      <c r="W119" s="175"/>
      <c r="X119" s="175"/>
      <c r="Y119" s="175"/>
      <c r="Z119" s="175"/>
      <c r="AA119" s="175"/>
    </row>
    <row r="120" spans="2:27" x14ac:dyDescent="0.15">
      <c r="B120" s="117">
        <v>7</v>
      </c>
      <c r="C120" s="124" t="s">
        <v>94</v>
      </c>
      <c r="D120" s="119">
        <f t="shared" si="61"/>
        <v>0</v>
      </c>
      <c r="E120" s="119">
        <f t="shared" si="61"/>
        <v>0</v>
      </c>
      <c r="F120" s="119">
        <f t="shared" si="61"/>
        <v>0</v>
      </c>
      <c r="G120" s="119">
        <f t="shared" si="62"/>
        <v>0</v>
      </c>
      <c r="H120" s="119">
        <f t="shared" si="61"/>
        <v>0</v>
      </c>
      <c r="I120" s="119">
        <f t="shared" si="61"/>
        <v>0</v>
      </c>
      <c r="J120" s="119">
        <f t="shared" si="61"/>
        <v>0</v>
      </c>
      <c r="K120" s="119">
        <f t="shared" si="61"/>
        <v>0</v>
      </c>
      <c r="L120" s="122"/>
      <c r="M120" s="119">
        <f t="shared" si="64"/>
        <v>0</v>
      </c>
      <c r="N120" s="119">
        <f t="shared" si="65"/>
        <v>0</v>
      </c>
      <c r="O120" s="119">
        <f t="shared" si="66"/>
        <v>0</v>
      </c>
      <c r="P120" s="119">
        <f t="shared" si="67"/>
        <v>0</v>
      </c>
      <c r="Q120" s="119">
        <f t="shared" si="68"/>
        <v>0</v>
      </c>
      <c r="R120" s="119">
        <f t="shared" si="69"/>
        <v>0</v>
      </c>
      <c r="S120" s="121">
        <f t="shared" si="70"/>
        <v>0</v>
      </c>
      <c r="T120" s="121">
        <f t="shared" si="71"/>
        <v>0</v>
      </c>
      <c r="U120" s="122"/>
      <c r="V120" s="175"/>
      <c r="W120" s="175"/>
      <c r="X120" s="175"/>
      <c r="Y120" s="175"/>
      <c r="Z120" s="175"/>
      <c r="AA120" s="175"/>
    </row>
    <row r="121" spans="2:27" x14ac:dyDescent="0.15">
      <c r="B121" s="117">
        <v>8</v>
      </c>
      <c r="C121" s="124" t="s">
        <v>95</v>
      </c>
      <c r="D121" s="119">
        <f t="shared" si="61"/>
        <v>0</v>
      </c>
      <c r="E121" s="119">
        <f t="shared" si="61"/>
        <v>0</v>
      </c>
      <c r="F121" s="119">
        <f t="shared" si="61"/>
        <v>0</v>
      </c>
      <c r="G121" s="119">
        <f t="shared" si="62"/>
        <v>0</v>
      </c>
      <c r="H121" s="119">
        <f t="shared" si="61"/>
        <v>0</v>
      </c>
      <c r="I121" s="119">
        <f t="shared" si="61"/>
        <v>0</v>
      </c>
      <c r="J121" s="119">
        <f t="shared" si="61"/>
        <v>0</v>
      </c>
      <c r="K121" s="119">
        <f t="shared" si="61"/>
        <v>0</v>
      </c>
      <c r="L121" s="117"/>
      <c r="M121" s="119">
        <f t="shared" si="64"/>
        <v>0</v>
      </c>
      <c r="N121" s="119">
        <f t="shared" si="65"/>
        <v>0</v>
      </c>
      <c r="O121" s="119">
        <f t="shared" si="66"/>
        <v>0</v>
      </c>
      <c r="P121" s="119">
        <f t="shared" si="67"/>
        <v>0</v>
      </c>
      <c r="Q121" s="119">
        <f t="shared" si="68"/>
        <v>0</v>
      </c>
      <c r="R121" s="119">
        <f t="shared" si="69"/>
        <v>0</v>
      </c>
      <c r="S121" s="121">
        <f t="shared" si="70"/>
        <v>0</v>
      </c>
      <c r="T121" s="121">
        <f t="shared" si="71"/>
        <v>0</v>
      </c>
      <c r="U121" s="117"/>
      <c r="V121" s="175"/>
      <c r="W121" s="175"/>
      <c r="X121" s="175"/>
      <c r="Y121" s="175"/>
      <c r="Z121" s="175"/>
      <c r="AA121" s="175"/>
    </row>
    <row r="122" spans="2:27" x14ac:dyDescent="0.15">
      <c r="B122" s="117">
        <v>9</v>
      </c>
      <c r="C122" s="124" t="s">
        <v>142</v>
      </c>
      <c r="D122" s="119">
        <f t="shared" si="61"/>
        <v>0</v>
      </c>
      <c r="E122" s="119">
        <f t="shared" si="61"/>
        <v>0</v>
      </c>
      <c r="F122" s="119">
        <f t="shared" si="61"/>
        <v>0</v>
      </c>
      <c r="G122" s="119">
        <f t="shared" si="62"/>
        <v>0</v>
      </c>
      <c r="H122" s="119">
        <f t="shared" si="61"/>
        <v>0</v>
      </c>
      <c r="I122" s="119">
        <f t="shared" si="61"/>
        <v>0</v>
      </c>
      <c r="J122" s="119">
        <f t="shared" si="61"/>
        <v>0</v>
      </c>
      <c r="K122" s="119">
        <f t="shared" si="61"/>
        <v>0</v>
      </c>
      <c r="L122" s="117"/>
      <c r="M122" s="119">
        <f t="shared" si="64"/>
        <v>0</v>
      </c>
      <c r="N122" s="119">
        <f t="shared" si="65"/>
        <v>0</v>
      </c>
      <c r="O122" s="119">
        <f t="shared" si="66"/>
        <v>0</v>
      </c>
      <c r="P122" s="119">
        <f t="shared" si="67"/>
        <v>0</v>
      </c>
      <c r="Q122" s="119">
        <f t="shared" si="68"/>
        <v>0</v>
      </c>
      <c r="R122" s="119">
        <f t="shared" si="69"/>
        <v>0</v>
      </c>
      <c r="S122" s="121">
        <f t="shared" si="70"/>
        <v>0</v>
      </c>
      <c r="T122" s="121">
        <f t="shared" si="71"/>
        <v>0</v>
      </c>
      <c r="U122" s="117"/>
      <c r="V122" s="175"/>
      <c r="W122" s="175"/>
      <c r="X122" s="175"/>
      <c r="Y122" s="175"/>
      <c r="Z122" s="175"/>
      <c r="AA122" s="175"/>
    </row>
    <row r="123" spans="2:27" x14ac:dyDescent="0.15">
      <c r="B123" s="117">
        <v>10</v>
      </c>
      <c r="C123" s="124" t="s">
        <v>138</v>
      </c>
      <c r="D123" s="119">
        <f t="shared" si="61"/>
        <v>0</v>
      </c>
      <c r="E123" s="119">
        <f t="shared" si="61"/>
        <v>0</v>
      </c>
      <c r="F123" s="119">
        <f t="shared" si="61"/>
        <v>0</v>
      </c>
      <c r="G123" s="119">
        <f t="shared" si="62"/>
        <v>0</v>
      </c>
      <c r="H123" s="119">
        <f t="shared" si="61"/>
        <v>0</v>
      </c>
      <c r="I123" s="119">
        <f t="shared" si="61"/>
        <v>0</v>
      </c>
      <c r="J123" s="119">
        <f t="shared" si="61"/>
        <v>0</v>
      </c>
      <c r="K123" s="119">
        <f t="shared" si="61"/>
        <v>0</v>
      </c>
      <c r="L123" s="117"/>
      <c r="M123" s="119">
        <f t="shared" si="64"/>
        <v>0</v>
      </c>
      <c r="N123" s="119">
        <f t="shared" si="65"/>
        <v>0</v>
      </c>
      <c r="O123" s="119">
        <f t="shared" si="66"/>
        <v>0</v>
      </c>
      <c r="P123" s="119">
        <f t="shared" si="67"/>
        <v>0</v>
      </c>
      <c r="Q123" s="119">
        <f t="shared" si="68"/>
        <v>0</v>
      </c>
      <c r="R123" s="119">
        <f t="shared" si="69"/>
        <v>0</v>
      </c>
      <c r="S123" s="121">
        <f t="shared" si="70"/>
        <v>0</v>
      </c>
      <c r="T123" s="121">
        <f t="shared" si="71"/>
        <v>0</v>
      </c>
      <c r="U123" s="117"/>
      <c r="V123" s="175"/>
      <c r="W123" s="175"/>
      <c r="X123" s="175"/>
      <c r="Y123" s="175"/>
      <c r="Z123" s="175"/>
      <c r="AA123" s="175"/>
    </row>
    <row r="124" spans="2:27" x14ac:dyDescent="0.15">
      <c r="B124" s="117">
        <v>11</v>
      </c>
      <c r="C124" s="124" t="s">
        <v>141</v>
      </c>
      <c r="D124" s="119">
        <f t="shared" si="61"/>
        <v>0</v>
      </c>
      <c r="E124" s="119">
        <f t="shared" si="61"/>
        <v>0</v>
      </c>
      <c r="F124" s="119">
        <f t="shared" si="61"/>
        <v>0</v>
      </c>
      <c r="G124" s="119">
        <f t="shared" si="62"/>
        <v>0</v>
      </c>
      <c r="H124" s="119">
        <f t="shared" si="61"/>
        <v>0</v>
      </c>
      <c r="I124" s="119">
        <f t="shared" si="61"/>
        <v>0</v>
      </c>
      <c r="J124" s="119">
        <f t="shared" si="61"/>
        <v>0</v>
      </c>
      <c r="K124" s="119">
        <f t="shared" si="61"/>
        <v>0</v>
      </c>
      <c r="L124" s="117"/>
      <c r="M124" s="119">
        <f t="shared" si="64"/>
        <v>0</v>
      </c>
      <c r="N124" s="119">
        <f t="shared" si="65"/>
        <v>0</v>
      </c>
      <c r="O124" s="119">
        <f t="shared" si="66"/>
        <v>0</v>
      </c>
      <c r="P124" s="119">
        <f t="shared" si="67"/>
        <v>0</v>
      </c>
      <c r="Q124" s="119">
        <f t="shared" si="68"/>
        <v>0</v>
      </c>
      <c r="R124" s="119">
        <f t="shared" si="69"/>
        <v>0</v>
      </c>
      <c r="S124" s="121">
        <f t="shared" si="70"/>
        <v>0</v>
      </c>
      <c r="T124" s="121">
        <f t="shared" si="71"/>
        <v>0</v>
      </c>
      <c r="U124" s="117"/>
      <c r="V124" s="175"/>
      <c r="W124" s="175"/>
      <c r="X124" s="175"/>
      <c r="Y124" s="175"/>
      <c r="Z124" s="175"/>
      <c r="AA124" s="175"/>
    </row>
    <row r="125" spans="2:27" x14ac:dyDescent="0.15">
      <c r="B125" s="117">
        <v>12</v>
      </c>
      <c r="C125" s="124" t="s">
        <v>96</v>
      </c>
      <c r="D125" s="119">
        <f t="shared" si="61"/>
        <v>0</v>
      </c>
      <c r="E125" s="119">
        <f t="shared" si="61"/>
        <v>0</v>
      </c>
      <c r="F125" s="119">
        <f t="shared" si="61"/>
        <v>0</v>
      </c>
      <c r="G125" s="119">
        <f t="shared" si="62"/>
        <v>0</v>
      </c>
      <c r="H125" s="119">
        <f t="shared" si="61"/>
        <v>0</v>
      </c>
      <c r="I125" s="119">
        <f t="shared" si="61"/>
        <v>0</v>
      </c>
      <c r="J125" s="119">
        <f t="shared" si="61"/>
        <v>0</v>
      </c>
      <c r="K125" s="119">
        <f t="shared" si="61"/>
        <v>0</v>
      </c>
      <c r="L125" s="117"/>
      <c r="M125" s="119">
        <f t="shared" si="64"/>
        <v>0</v>
      </c>
      <c r="N125" s="119">
        <f t="shared" si="65"/>
        <v>0</v>
      </c>
      <c r="O125" s="119">
        <f t="shared" si="66"/>
        <v>0</v>
      </c>
      <c r="P125" s="119">
        <f t="shared" si="67"/>
        <v>0</v>
      </c>
      <c r="Q125" s="119">
        <f t="shared" si="68"/>
        <v>0</v>
      </c>
      <c r="R125" s="119">
        <f t="shared" si="69"/>
        <v>0</v>
      </c>
      <c r="S125" s="121">
        <f t="shared" si="70"/>
        <v>0</v>
      </c>
      <c r="T125" s="121">
        <f t="shared" si="71"/>
        <v>0</v>
      </c>
      <c r="U125" s="117"/>
      <c r="V125" s="175"/>
      <c r="W125" s="175"/>
      <c r="X125" s="175"/>
      <c r="Y125" s="175"/>
      <c r="Z125" s="175"/>
      <c r="AA125" s="175"/>
    </row>
    <row r="126" spans="2:27" x14ac:dyDescent="0.15">
      <c r="B126" s="117">
        <v>13</v>
      </c>
      <c r="C126" s="124" t="s">
        <v>97</v>
      </c>
      <c r="D126" s="119">
        <f t="shared" si="61"/>
        <v>0</v>
      </c>
      <c r="E126" s="119">
        <f t="shared" si="61"/>
        <v>0</v>
      </c>
      <c r="F126" s="119">
        <f t="shared" si="61"/>
        <v>0</v>
      </c>
      <c r="G126" s="119">
        <f t="shared" si="62"/>
        <v>0</v>
      </c>
      <c r="H126" s="119">
        <f t="shared" si="61"/>
        <v>0</v>
      </c>
      <c r="I126" s="119">
        <f t="shared" si="61"/>
        <v>0</v>
      </c>
      <c r="J126" s="119">
        <f t="shared" si="61"/>
        <v>0</v>
      </c>
      <c r="K126" s="119">
        <f t="shared" si="61"/>
        <v>0</v>
      </c>
      <c r="L126" s="117"/>
      <c r="M126" s="119">
        <f t="shared" si="64"/>
        <v>0</v>
      </c>
      <c r="N126" s="119">
        <f t="shared" si="65"/>
        <v>0</v>
      </c>
      <c r="O126" s="119">
        <f t="shared" si="66"/>
        <v>0</v>
      </c>
      <c r="P126" s="119">
        <f t="shared" si="67"/>
        <v>0</v>
      </c>
      <c r="Q126" s="119">
        <f t="shared" si="68"/>
        <v>0</v>
      </c>
      <c r="R126" s="119">
        <f t="shared" si="69"/>
        <v>0</v>
      </c>
      <c r="S126" s="121">
        <f t="shared" si="70"/>
        <v>0</v>
      </c>
      <c r="T126" s="121">
        <f t="shared" si="71"/>
        <v>0</v>
      </c>
      <c r="U126" s="117"/>
      <c r="V126" s="175"/>
      <c r="W126" s="175"/>
      <c r="X126" s="175"/>
      <c r="Y126" s="175"/>
      <c r="Z126" s="175"/>
      <c r="AA126" s="175"/>
    </row>
    <row r="127" spans="2:27" x14ac:dyDescent="0.15">
      <c r="B127" s="117">
        <v>14</v>
      </c>
      <c r="C127" s="124" t="s">
        <v>102</v>
      </c>
      <c r="D127" s="119">
        <f t="shared" si="61"/>
        <v>0</v>
      </c>
      <c r="E127" s="119">
        <f t="shared" si="61"/>
        <v>0</v>
      </c>
      <c r="F127" s="119">
        <f t="shared" si="61"/>
        <v>0</v>
      </c>
      <c r="G127" s="119">
        <f t="shared" si="62"/>
        <v>0</v>
      </c>
      <c r="H127" s="119">
        <f t="shared" si="61"/>
        <v>0</v>
      </c>
      <c r="I127" s="119">
        <f t="shared" si="61"/>
        <v>0</v>
      </c>
      <c r="J127" s="119">
        <f t="shared" si="61"/>
        <v>0</v>
      </c>
      <c r="K127" s="119">
        <f t="shared" si="61"/>
        <v>0</v>
      </c>
      <c r="L127" s="117"/>
      <c r="M127" s="119">
        <f t="shared" si="64"/>
        <v>0</v>
      </c>
      <c r="N127" s="119">
        <f t="shared" si="65"/>
        <v>0</v>
      </c>
      <c r="O127" s="119">
        <f t="shared" si="66"/>
        <v>0</v>
      </c>
      <c r="P127" s="119">
        <f t="shared" si="67"/>
        <v>0</v>
      </c>
      <c r="Q127" s="119">
        <f t="shared" si="68"/>
        <v>0</v>
      </c>
      <c r="R127" s="119">
        <f t="shared" si="69"/>
        <v>0</v>
      </c>
      <c r="S127" s="121">
        <f t="shared" si="70"/>
        <v>0</v>
      </c>
      <c r="T127" s="121">
        <f t="shared" si="71"/>
        <v>0</v>
      </c>
      <c r="U127" s="117"/>
      <c r="V127" s="175"/>
      <c r="W127" s="175"/>
      <c r="X127" s="175"/>
      <c r="Y127" s="175"/>
      <c r="Z127" s="175"/>
      <c r="AA127" s="175"/>
    </row>
    <row r="128" spans="2:27" ht="14" thickBot="1" x14ac:dyDescent="0.2">
      <c r="C128" s="109" t="s">
        <v>107</v>
      </c>
      <c r="D128" s="125">
        <f t="shared" ref="D128:K128" si="72">SUM(D114:D127)</f>
        <v>0</v>
      </c>
      <c r="E128" s="125">
        <f t="shared" si="72"/>
        <v>0</v>
      </c>
      <c r="F128" s="125">
        <f t="shared" si="72"/>
        <v>0</v>
      </c>
      <c r="G128" s="125">
        <f t="shared" si="72"/>
        <v>0</v>
      </c>
      <c r="H128" s="125">
        <f t="shared" si="72"/>
        <v>0</v>
      </c>
      <c r="I128" s="125">
        <f t="shared" si="72"/>
        <v>0</v>
      </c>
      <c r="J128" s="125">
        <f t="shared" si="72"/>
        <v>0</v>
      </c>
      <c r="K128" s="125">
        <f t="shared" si="72"/>
        <v>0</v>
      </c>
      <c r="M128" s="125">
        <f t="shared" ref="M128:T128" si="73">SUM(M114:M127)</f>
        <v>0</v>
      </c>
      <c r="N128" s="125">
        <f t="shared" si="73"/>
        <v>0</v>
      </c>
      <c r="O128" s="125">
        <f t="shared" si="73"/>
        <v>0</v>
      </c>
      <c r="P128" s="125">
        <f t="shared" si="73"/>
        <v>0</v>
      </c>
      <c r="Q128" s="125">
        <f t="shared" si="73"/>
        <v>0</v>
      </c>
      <c r="R128" s="125">
        <f t="shared" si="73"/>
        <v>0</v>
      </c>
      <c r="S128" s="125">
        <f t="shared" si="73"/>
        <v>0</v>
      </c>
      <c r="T128" s="125">
        <f t="shared" si="73"/>
        <v>0</v>
      </c>
      <c r="U128" s="125">
        <f>T128/950</f>
        <v>0</v>
      </c>
      <c r="V128" s="190" t="e">
        <f>SUM(M128:N128)/'System Typical BOM Translator'!$J$6</f>
        <v>#DIV/0!</v>
      </c>
      <c r="W128" s="190" t="e">
        <f>SUM(N128:O128)/'System Typical BOM Translator'!$J$6</f>
        <v>#DIV/0!</v>
      </c>
      <c r="X128" s="190" t="e">
        <f>SUM(O128:P128)/'System Typical BOM Translator'!$J$6</f>
        <v>#DIV/0!</v>
      </c>
      <c r="Y128" s="190" t="e">
        <f>SUM(P128:Q128)/'System Typical BOM Translator'!$J$6</f>
        <v>#DIV/0!</v>
      </c>
      <c r="Z128" s="190" t="e">
        <f>SUM(W128:Y128)</f>
        <v>#DIV/0!</v>
      </c>
      <c r="AA128" s="190" t="e">
        <f>Z128+V128</f>
        <v>#DIV/0!</v>
      </c>
    </row>
    <row r="129" ht="14" thickTop="1" x14ac:dyDescent="0.15"/>
  </sheetData>
  <mergeCells count="14">
    <mergeCell ref="M112:T112"/>
    <mergeCell ref="M94:T94"/>
    <mergeCell ref="M76:T76"/>
    <mergeCell ref="M58:T58"/>
    <mergeCell ref="D58:K58"/>
    <mergeCell ref="D76:K76"/>
    <mergeCell ref="D94:K94"/>
    <mergeCell ref="D112:K112"/>
    <mergeCell ref="M40:T40"/>
    <mergeCell ref="M22:T22"/>
    <mergeCell ref="D4:K4"/>
    <mergeCell ref="D22:K22"/>
    <mergeCell ref="D40:K40"/>
    <mergeCell ref="M4:T4"/>
  </mergeCells>
  <phoneticPr fontId="2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>
    <tabColor indexed="10"/>
    <pageSetUpPr fitToPage="1"/>
  </sheetPr>
  <dimension ref="A1:R38"/>
  <sheetViews>
    <sheetView workbookViewId="0">
      <pane xSplit="4" ySplit="6" topLeftCell="E7" activePane="bottomRight" state="frozen"/>
      <selection activeCell="Y88" sqref="Y88"/>
      <selection pane="topRight" activeCell="Y88" sqref="Y88"/>
      <selection pane="bottomLeft" activeCell="Y88" sqref="Y88"/>
      <selection pane="bottomRight" activeCell="J25" sqref="J25"/>
    </sheetView>
  </sheetViews>
  <sheetFormatPr baseColWidth="10" defaultColWidth="8.83203125" defaultRowHeight="13" x14ac:dyDescent="0.15"/>
  <cols>
    <col min="1" max="2" customWidth="true" style="15" width="3.6640625" collapsed="true"/>
    <col min="3" max="3" bestFit="true" customWidth="true" style="15" width="11.83203125" collapsed="true"/>
    <col min="4" max="4" bestFit="true" customWidth="true" style="15" width="37.5" collapsed="true"/>
    <col min="5" max="17" customWidth="true" style="41" width="7.6640625" collapsed="true"/>
    <col min="18" max="16384" style="15" width="8.83203125" collapsed="true"/>
  </cols>
  <sheetData>
    <row r="1" spans="1:18" ht="16" x14ac:dyDescent="0.2">
      <c r="A1" s="60" t="s">
        <v>198</v>
      </c>
    </row>
    <row r="2" spans="1:18" ht="16" x14ac:dyDescent="0.2">
      <c r="A2" s="60" t="s">
        <v>196</v>
      </c>
      <c r="D2" s="45"/>
      <c r="L2" s="44"/>
      <c r="M2" s="44"/>
      <c r="N2" s="44"/>
      <c r="O2" s="44"/>
    </row>
    <row r="3" spans="1:18" ht="16.5" customHeight="1" thickBot="1" x14ac:dyDescent="0.2">
      <c r="B3" s="15">
        <v>1</v>
      </c>
      <c r="C3" s="15">
        <f t="shared" ref="C3:Q3" si="0">B3+1</f>
        <v>2</v>
      </c>
      <c r="D3" s="15">
        <f t="shared" si="0"/>
        <v>3</v>
      </c>
      <c r="E3" s="15">
        <f t="shared" si="0"/>
        <v>4</v>
      </c>
      <c r="F3" s="15">
        <f t="shared" si="0"/>
        <v>5</v>
      </c>
      <c r="G3" s="15">
        <f t="shared" si="0"/>
        <v>6</v>
      </c>
      <c r="H3" s="15">
        <f t="shared" si="0"/>
        <v>7</v>
      </c>
      <c r="I3" s="15">
        <f t="shared" si="0"/>
        <v>8</v>
      </c>
      <c r="J3" s="15">
        <f t="shared" si="0"/>
        <v>9</v>
      </c>
      <c r="K3" s="15">
        <f t="shared" si="0"/>
        <v>10</v>
      </c>
      <c r="L3" s="15">
        <f t="shared" si="0"/>
        <v>11</v>
      </c>
      <c r="M3" s="15">
        <f t="shared" si="0"/>
        <v>12</v>
      </c>
      <c r="N3" s="15">
        <f t="shared" si="0"/>
        <v>13</v>
      </c>
      <c r="O3" s="15">
        <f t="shared" si="0"/>
        <v>14</v>
      </c>
      <c r="P3" s="15">
        <f t="shared" si="0"/>
        <v>15</v>
      </c>
      <c r="Q3" s="15">
        <f t="shared" si="0"/>
        <v>16</v>
      </c>
    </row>
    <row r="4" spans="1:18" ht="17" thickBot="1" x14ac:dyDescent="0.25">
      <c r="B4" s="60"/>
      <c r="D4" s="45"/>
      <c r="J4" s="584" t="s">
        <v>199</v>
      </c>
      <c r="K4" s="585"/>
      <c r="L4" s="586"/>
      <c r="M4" s="587" t="s">
        <v>199</v>
      </c>
      <c r="N4" s="588"/>
      <c r="O4" s="589"/>
    </row>
    <row r="5" spans="1:18" x14ac:dyDescent="0.15">
      <c r="C5" s="66" t="s">
        <v>209</v>
      </c>
      <c r="D5" s="66"/>
      <c r="L5" s="81">
        <f>(20*60)/2700</f>
        <v>0.44444444444444442</v>
      </c>
      <c r="O5" s="44">
        <f>(25*60)/2700</f>
        <v>0.55555555555555558</v>
      </c>
    </row>
    <row r="6" spans="1:18" ht="102" customHeight="1" x14ac:dyDescent="0.15">
      <c r="B6" s="49" t="s">
        <v>203</v>
      </c>
      <c r="C6" s="46" t="s">
        <v>47</v>
      </c>
      <c r="D6" s="46" t="s">
        <v>197</v>
      </c>
      <c r="E6" s="47" t="s">
        <v>200</v>
      </c>
      <c r="F6" s="47" t="s">
        <v>201</v>
      </c>
      <c r="G6" s="47" t="s">
        <v>202</v>
      </c>
      <c r="H6" s="47" t="s">
        <v>144</v>
      </c>
      <c r="I6" s="48" t="s">
        <v>145</v>
      </c>
      <c r="J6" s="68" t="s">
        <v>170</v>
      </c>
      <c r="K6" s="68" t="s">
        <v>171</v>
      </c>
      <c r="L6" s="68" t="s">
        <v>146</v>
      </c>
      <c r="M6" s="71" t="s">
        <v>207</v>
      </c>
      <c r="N6" s="71" t="s">
        <v>208</v>
      </c>
      <c r="O6" s="71" t="s">
        <v>172</v>
      </c>
      <c r="P6" s="73" t="s">
        <v>147</v>
      </c>
      <c r="Q6" s="49" t="s">
        <v>173</v>
      </c>
    </row>
    <row r="7" spans="1:18" x14ac:dyDescent="0.15">
      <c r="B7" s="15">
        <v>1</v>
      </c>
      <c r="C7" s="61" t="s">
        <v>80</v>
      </c>
      <c r="D7" s="15" t="s">
        <v>165</v>
      </c>
      <c r="E7" s="62">
        <f>E25*$E$22</f>
        <v>6.25</v>
      </c>
      <c r="F7" s="62">
        <f>F25*$E$22</f>
        <v>3.5</v>
      </c>
      <c r="G7" s="62">
        <f>G25*$E$22</f>
        <v>0.3125</v>
      </c>
      <c r="H7" s="62">
        <f t="shared" ref="H7:H20" si="1">E7*F7*G7</f>
        <v>6.8359375</v>
      </c>
      <c r="I7" s="52">
        <f t="shared" ref="I7:I20" si="2">MIN((E7*F7),(E7*G7),(G7*F7))</f>
        <v>1.09375</v>
      </c>
      <c r="J7" s="69">
        <f t="shared" ref="J7:J20" si="3">L7*0.4</f>
        <v>1.2152777777777777</v>
      </c>
      <c r="K7" s="69">
        <f t="shared" ref="K7:K20" si="4">L7*0.6</f>
        <v>1.8229166666666665</v>
      </c>
      <c r="L7" s="70">
        <f>L$5*$H7</f>
        <v>3.0381944444444442</v>
      </c>
      <c r="M7" s="72">
        <f t="shared" ref="M7:M20" si="5">0.25*O7</f>
        <v>0.94943576388888895</v>
      </c>
      <c r="N7" s="72">
        <f t="shared" ref="N7:N20" si="6">0.75*O7</f>
        <v>2.848307291666667</v>
      </c>
      <c r="O7" s="72">
        <f t="shared" ref="O7:O20" si="7">O$5*$H7</f>
        <v>3.7977430555555558</v>
      </c>
      <c r="P7" s="74">
        <v>19.100000000000001</v>
      </c>
      <c r="Q7" s="64">
        <v>0</v>
      </c>
    </row>
    <row r="8" spans="1:18" x14ac:dyDescent="0.15">
      <c r="B8" s="15">
        <v>2</v>
      </c>
      <c r="C8" s="61" t="s">
        <v>80</v>
      </c>
      <c r="D8" s="15" t="s">
        <v>166</v>
      </c>
      <c r="E8" s="62">
        <f t="shared" ref="E8:F20" si="8">E26*$E$22</f>
        <v>6.25</v>
      </c>
      <c r="F8" s="62">
        <f t="shared" si="8"/>
        <v>3.5</v>
      </c>
      <c r="G8" s="62">
        <f t="shared" ref="G8:G20" si="9">G26*$E$22</f>
        <v>0.3125</v>
      </c>
      <c r="H8" s="62">
        <f t="shared" si="1"/>
        <v>6.8359375</v>
      </c>
      <c r="I8" s="52">
        <f t="shared" si="2"/>
        <v>1.09375</v>
      </c>
      <c r="J8" s="69">
        <f t="shared" si="3"/>
        <v>1.2152777777777777</v>
      </c>
      <c r="K8" s="69">
        <f t="shared" si="4"/>
        <v>1.8229166666666665</v>
      </c>
      <c r="L8" s="70">
        <f>L$5*$H8</f>
        <v>3.0381944444444442</v>
      </c>
      <c r="M8" s="72">
        <f t="shared" si="5"/>
        <v>0.94943576388888895</v>
      </c>
      <c r="N8" s="72">
        <f t="shared" si="6"/>
        <v>2.848307291666667</v>
      </c>
      <c r="O8" s="72">
        <f t="shared" si="7"/>
        <v>3.7977430555555558</v>
      </c>
      <c r="P8" s="74">
        <v>19.100000000000001</v>
      </c>
      <c r="Q8" s="64">
        <v>19.100000000000001</v>
      </c>
      <c r="R8" s="63"/>
    </row>
    <row r="9" spans="1:18" x14ac:dyDescent="0.15">
      <c r="B9" s="15">
        <v>3</v>
      </c>
      <c r="C9" s="61" t="s">
        <v>80</v>
      </c>
      <c r="D9" s="15" t="s">
        <v>140</v>
      </c>
      <c r="E9" s="62">
        <f t="shared" si="8"/>
        <v>3.5</v>
      </c>
      <c r="F9" s="62">
        <f t="shared" si="8"/>
        <v>0.625</v>
      </c>
      <c r="G9" s="62">
        <f t="shared" si="9"/>
        <v>0.44642857142857145</v>
      </c>
      <c r="H9" s="62">
        <f t="shared" si="1"/>
        <v>0.9765625</v>
      </c>
      <c r="I9" s="52">
        <f t="shared" si="2"/>
        <v>0.27901785714285715</v>
      </c>
      <c r="J9" s="69">
        <f t="shared" si="3"/>
        <v>0.1736111111111111</v>
      </c>
      <c r="K9" s="69">
        <f t="shared" si="4"/>
        <v>0.26041666666666663</v>
      </c>
      <c r="L9" s="70">
        <f>L$5*$H9</f>
        <v>0.43402777777777773</v>
      </c>
      <c r="M9" s="72">
        <f t="shared" si="5"/>
        <v>0.13563368055555555</v>
      </c>
      <c r="N9" s="72">
        <f t="shared" si="6"/>
        <v>0.40690104166666663</v>
      </c>
      <c r="O9" s="72">
        <f t="shared" si="7"/>
        <v>0.54253472222222221</v>
      </c>
      <c r="P9" s="75">
        <v>0</v>
      </c>
      <c r="Q9" s="64">
        <v>19.100000000000001</v>
      </c>
    </row>
    <row r="10" spans="1:18" x14ac:dyDescent="0.15">
      <c r="B10" s="15">
        <v>4</v>
      </c>
      <c r="C10" s="61" t="s">
        <v>80</v>
      </c>
      <c r="D10" s="78" t="s">
        <v>168</v>
      </c>
      <c r="E10" s="62">
        <f>E28*$E$23</f>
        <v>1.665</v>
      </c>
      <c r="F10" s="62">
        <f>F28*$E$23</f>
        <v>3.1080000000000001</v>
      </c>
      <c r="G10" s="62">
        <f>G28*$E$23</f>
        <v>0.52858200000000011</v>
      </c>
      <c r="H10" s="62">
        <f t="shared" si="1"/>
        <v>2.7353167052400007</v>
      </c>
      <c r="I10" s="52">
        <f t="shared" si="2"/>
        <v>0.88008903000000016</v>
      </c>
      <c r="J10" s="69">
        <f t="shared" si="3"/>
        <v>0.48627852537600014</v>
      </c>
      <c r="K10" s="69">
        <f t="shared" si="4"/>
        <v>0.72941778806400015</v>
      </c>
      <c r="L10" s="70">
        <f t="shared" ref="L10:L20" si="10">L$5*$H10</f>
        <v>1.2156963134400003</v>
      </c>
      <c r="M10" s="72">
        <f t="shared" si="5"/>
        <v>0.3799050979500001</v>
      </c>
      <c r="N10" s="72">
        <f t="shared" si="6"/>
        <v>1.1397152938500004</v>
      </c>
      <c r="O10" s="72">
        <f t="shared" si="7"/>
        <v>1.5196203918000004</v>
      </c>
      <c r="P10" s="79">
        <v>0</v>
      </c>
      <c r="Q10" s="64">
        <v>0</v>
      </c>
    </row>
    <row r="11" spans="1:18" x14ac:dyDescent="0.15">
      <c r="B11" s="15">
        <v>5</v>
      </c>
      <c r="C11" s="67" t="s">
        <v>80</v>
      </c>
      <c r="D11" s="66" t="s">
        <v>167</v>
      </c>
      <c r="E11" s="62">
        <f t="shared" si="8"/>
        <v>1.875</v>
      </c>
      <c r="F11" s="62">
        <f t="shared" si="8"/>
        <v>3.5</v>
      </c>
      <c r="G11" s="62">
        <f t="shared" si="9"/>
        <v>0.59525000000000006</v>
      </c>
      <c r="H11" s="62">
        <f t="shared" si="1"/>
        <v>3.9063281250000004</v>
      </c>
      <c r="I11" s="52">
        <f t="shared" si="2"/>
        <v>1.1160937500000001</v>
      </c>
      <c r="J11" s="69">
        <f t="shared" si="3"/>
        <v>0.6944583333333334</v>
      </c>
      <c r="K11" s="69">
        <f t="shared" si="4"/>
        <v>1.0416875000000001</v>
      </c>
      <c r="L11" s="70">
        <f t="shared" si="10"/>
        <v>1.7361458333333335</v>
      </c>
      <c r="M11" s="72">
        <f t="shared" si="5"/>
        <v>0.54254557291666672</v>
      </c>
      <c r="N11" s="72">
        <f t="shared" si="6"/>
        <v>1.6276367187500003</v>
      </c>
      <c r="O11" s="72">
        <f t="shared" si="7"/>
        <v>2.1701822916666669</v>
      </c>
      <c r="P11" s="76">
        <v>24</v>
      </c>
      <c r="Q11" s="64">
        <v>0</v>
      </c>
    </row>
    <row r="12" spans="1:18" x14ac:dyDescent="0.15">
      <c r="B12" s="15">
        <v>6</v>
      </c>
      <c r="C12" s="67" t="s">
        <v>80</v>
      </c>
      <c r="D12" s="66" t="s">
        <v>164</v>
      </c>
      <c r="E12" s="62">
        <f t="shared" si="8"/>
        <v>1.875</v>
      </c>
      <c r="F12" s="62">
        <f t="shared" si="8"/>
        <v>3.5</v>
      </c>
      <c r="G12" s="62">
        <f t="shared" si="9"/>
        <v>0.59525000000000006</v>
      </c>
      <c r="H12" s="62">
        <f t="shared" si="1"/>
        <v>3.9063281250000004</v>
      </c>
      <c r="I12" s="52">
        <f t="shared" si="2"/>
        <v>1.1160937500000001</v>
      </c>
      <c r="J12" s="69">
        <f t="shared" si="3"/>
        <v>0.6944583333333334</v>
      </c>
      <c r="K12" s="69">
        <f t="shared" si="4"/>
        <v>1.0416875000000001</v>
      </c>
      <c r="L12" s="70">
        <f t="shared" si="10"/>
        <v>1.7361458333333335</v>
      </c>
      <c r="M12" s="72">
        <f t="shared" si="5"/>
        <v>0.54254557291666672</v>
      </c>
      <c r="N12" s="72">
        <f t="shared" si="6"/>
        <v>1.6276367187500003</v>
      </c>
      <c r="O12" s="72">
        <f t="shared" si="7"/>
        <v>2.1701822916666669</v>
      </c>
      <c r="P12" s="76">
        <v>32</v>
      </c>
      <c r="Q12" s="64">
        <v>0</v>
      </c>
    </row>
    <row r="13" spans="1:18" x14ac:dyDescent="0.15">
      <c r="B13" s="65">
        <v>7</v>
      </c>
      <c r="C13" s="61" t="s">
        <v>80</v>
      </c>
      <c r="D13" s="15" t="s">
        <v>94</v>
      </c>
      <c r="E13" s="62">
        <f t="shared" si="8"/>
        <v>5</v>
      </c>
      <c r="F13" s="62">
        <f t="shared" si="8"/>
        <v>2.5</v>
      </c>
      <c r="G13" s="62">
        <f t="shared" si="9"/>
        <v>0.3125</v>
      </c>
      <c r="H13" s="62">
        <f t="shared" si="1"/>
        <v>3.90625</v>
      </c>
      <c r="I13" s="52">
        <f t="shared" si="2"/>
        <v>0.78125</v>
      </c>
      <c r="J13" s="69">
        <f t="shared" si="3"/>
        <v>0.69444444444444442</v>
      </c>
      <c r="K13" s="69">
        <f t="shared" si="4"/>
        <v>1.0416666666666665</v>
      </c>
      <c r="L13" s="70">
        <f t="shared" si="10"/>
        <v>1.7361111111111109</v>
      </c>
      <c r="M13" s="72">
        <f t="shared" si="5"/>
        <v>0.54253472222222221</v>
      </c>
      <c r="N13" s="72">
        <f t="shared" si="6"/>
        <v>1.6276041666666665</v>
      </c>
      <c r="O13" s="72">
        <f t="shared" si="7"/>
        <v>2.1701388888888888</v>
      </c>
      <c r="P13" s="75">
        <v>31.8</v>
      </c>
      <c r="Q13" s="64">
        <v>0</v>
      </c>
    </row>
    <row r="14" spans="1:18" x14ac:dyDescent="0.15">
      <c r="B14" s="15">
        <v>8</v>
      </c>
      <c r="C14" s="61" t="s">
        <v>80</v>
      </c>
      <c r="D14" s="15" t="s">
        <v>95</v>
      </c>
      <c r="E14" s="62">
        <f t="shared" si="8"/>
        <v>5</v>
      </c>
      <c r="F14" s="62">
        <f t="shared" si="8"/>
        <v>1.25</v>
      </c>
      <c r="G14" s="62">
        <f t="shared" si="9"/>
        <v>1.25</v>
      </c>
      <c r="H14" s="62">
        <f t="shared" si="1"/>
        <v>7.8125</v>
      </c>
      <c r="I14" s="52">
        <f t="shared" si="2"/>
        <v>1.5625</v>
      </c>
      <c r="J14" s="69">
        <f t="shared" si="3"/>
        <v>1.3888888888888888</v>
      </c>
      <c r="K14" s="69">
        <f t="shared" si="4"/>
        <v>2.083333333333333</v>
      </c>
      <c r="L14" s="70">
        <f t="shared" si="10"/>
        <v>3.4722222222222219</v>
      </c>
      <c r="M14" s="72">
        <f t="shared" si="5"/>
        <v>1.0850694444444444</v>
      </c>
      <c r="N14" s="72">
        <f t="shared" si="6"/>
        <v>3.255208333333333</v>
      </c>
      <c r="O14" s="72">
        <f t="shared" si="7"/>
        <v>4.3402777777777777</v>
      </c>
      <c r="P14" s="75">
        <v>23.9</v>
      </c>
      <c r="Q14" s="64">
        <v>0</v>
      </c>
    </row>
    <row r="15" spans="1:18" x14ac:dyDescent="0.15">
      <c r="B15" s="65">
        <v>9</v>
      </c>
      <c r="C15" s="61" t="s">
        <v>80</v>
      </c>
      <c r="D15" s="15" t="s">
        <v>142</v>
      </c>
      <c r="E15" s="62">
        <f t="shared" si="8"/>
        <v>1.875</v>
      </c>
      <c r="F15" s="62">
        <f t="shared" si="8"/>
        <v>1.25</v>
      </c>
      <c r="G15" s="62">
        <f t="shared" si="9"/>
        <v>2.5</v>
      </c>
      <c r="H15" s="62">
        <f t="shared" si="1"/>
        <v>5.859375</v>
      </c>
      <c r="I15" s="52">
        <f t="shared" si="2"/>
        <v>2.34375</v>
      </c>
      <c r="J15" s="69">
        <f t="shared" si="3"/>
        <v>1.0416666666666667</v>
      </c>
      <c r="K15" s="69">
        <f t="shared" si="4"/>
        <v>1.5624999999999998</v>
      </c>
      <c r="L15" s="70">
        <f t="shared" si="10"/>
        <v>2.6041666666666665</v>
      </c>
      <c r="M15" s="72">
        <f t="shared" si="5"/>
        <v>0.81380208333333337</v>
      </c>
      <c r="N15" s="72">
        <f t="shared" si="6"/>
        <v>2.44140625</v>
      </c>
      <c r="O15" s="72">
        <f t="shared" si="7"/>
        <v>3.2552083333333335</v>
      </c>
      <c r="P15" s="75">
        <v>15.9</v>
      </c>
      <c r="Q15" s="64">
        <v>0</v>
      </c>
    </row>
    <row r="16" spans="1:18" x14ac:dyDescent="0.15">
      <c r="B16" s="65">
        <v>10</v>
      </c>
      <c r="C16" s="61" t="s">
        <v>80</v>
      </c>
      <c r="D16" s="15" t="s">
        <v>138</v>
      </c>
      <c r="E16" s="62">
        <f t="shared" si="8"/>
        <v>3.75</v>
      </c>
      <c r="F16" s="62">
        <f t="shared" si="8"/>
        <v>1.25</v>
      </c>
      <c r="G16" s="62">
        <f t="shared" si="9"/>
        <v>0.45833333333333309</v>
      </c>
      <c r="H16" s="62">
        <f t="shared" si="1"/>
        <v>2.1484374999999987</v>
      </c>
      <c r="I16" s="52">
        <f t="shared" si="2"/>
        <v>0.57291666666666641</v>
      </c>
      <c r="J16" s="69">
        <f t="shared" si="3"/>
        <v>0.3819444444444442</v>
      </c>
      <c r="K16" s="69">
        <f t="shared" si="4"/>
        <v>0.5729166666666663</v>
      </c>
      <c r="L16" s="70">
        <f t="shared" si="10"/>
        <v>0.95486111111111049</v>
      </c>
      <c r="M16" s="72">
        <f t="shared" si="5"/>
        <v>0.29839409722222204</v>
      </c>
      <c r="N16" s="72">
        <f t="shared" si="6"/>
        <v>0.89518229166666607</v>
      </c>
      <c r="O16" s="72">
        <f t="shared" si="7"/>
        <v>1.1935763888888882</v>
      </c>
      <c r="P16" s="75">
        <v>0</v>
      </c>
      <c r="Q16" s="64">
        <v>8</v>
      </c>
    </row>
    <row r="17" spans="2:17" x14ac:dyDescent="0.15">
      <c r="B17" s="15">
        <v>11</v>
      </c>
      <c r="C17" s="61" t="s">
        <v>80</v>
      </c>
      <c r="D17" s="15" t="s">
        <v>141</v>
      </c>
      <c r="E17" s="62">
        <f t="shared" si="8"/>
        <v>1.875</v>
      </c>
      <c r="F17" s="62">
        <f t="shared" si="8"/>
        <v>3.5</v>
      </c>
      <c r="G17" s="62">
        <f t="shared" si="9"/>
        <v>0.59525000000000006</v>
      </c>
      <c r="H17" s="62">
        <f t="shared" si="1"/>
        <v>3.9063281250000004</v>
      </c>
      <c r="I17" s="52">
        <f t="shared" si="2"/>
        <v>1.1160937500000001</v>
      </c>
      <c r="J17" s="69">
        <f t="shared" si="3"/>
        <v>0.6944583333333334</v>
      </c>
      <c r="K17" s="69">
        <f t="shared" si="4"/>
        <v>1.0416875000000001</v>
      </c>
      <c r="L17" s="70">
        <f t="shared" si="10"/>
        <v>1.7361458333333335</v>
      </c>
      <c r="M17" s="72">
        <f t="shared" si="5"/>
        <v>0.54254557291666672</v>
      </c>
      <c r="N17" s="72">
        <f t="shared" si="6"/>
        <v>1.6276367187500003</v>
      </c>
      <c r="O17" s="72">
        <f t="shared" si="7"/>
        <v>2.1701822916666669</v>
      </c>
      <c r="P17" s="74">
        <v>23.9</v>
      </c>
      <c r="Q17" s="80">
        <v>0</v>
      </c>
    </row>
    <row r="18" spans="2:17" x14ac:dyDescent="0.15">
      <c r="B18" s="65">
        <v>12</v>
      </c>
      <c r="C18" s="67" t="s">
        <v>80</v>
      </c>
      <c r="D18" s="66" t="s">
        <v>96</v>
      </c>
      <c r="E18" s="62">
        <f t="shared" si="8"/>
        <v>7.5</v>
      </c>
      <c r="F18" s="62">
        <f t="shared" si="8"/>
        <v>0.1</v>
      </c>
      <c r="G18" s="62">
        <f t="shared" si="9"/>
        <v>7.8125E-2</v>
      </c>
      <c r="H18" s="62">
        <f t="shared" si="1"/>
        <v>5.859375E-2</v>
      </c>
      <c r="I18" s="52">
        <f t="shared" si="2"/>
        <v>7.8125E-3</v>
      </c>
      <c r="J18" s="69">
        <f t="shared" si="3"/>
        <v>1.0416666666666666E-2</v>
      </c>
      <c r="K18" s="69">
        <f t="shared" si="4"/>
        <v>1.5624999999999998E-2</v>
      </c>
      <c r="L18" s="70">
        <f t="shared" si="10"/>
        <v>2.6041666666666664E-2</v>
      </c>
      <c r="M18" s="72">
        <f t="shared" si="5"/>
        <v>8.1380208333333339E-3</v>
      </c>
      <c r="N18" s="72">
        <f t="shared" si="6"/>
        <v>2.44140625E-2</v>
      </c>
      <c r="O18" s="72">
        <f t="shared" si="7"/>
        <v>3.2552083333333336E-2</v>
      </c>
      <c r="P18" s="76">
        <v>32</v>
      </c>
      <c r="Q18" s="64">
        <v>0</v>
      </c>
    </row>
    <row r="19" spans="2:17" x14ac:dyDescent="0.15">
      <c r="B19" s="15">
        <v>13</v>
      </c>
      <c r="C19" s="67" t="s">
        <v>80</v>
      </c>
      <c r="D19" s="66" t="s">
        <v>97</v>
      </c>
      <c r="E19" s="62">
        <f t="shared" si="8"/>
        <v>6.25</v>
      </c>
      <c r="F19" s="62">
        <f t="shared" si="8"/>
        <v>3.5</v>
      </c>
      <c r="G19" s="62">
        <f t="shared" si="9"/>
        <v>0.3125</v>
      </c>
      <c r="H19" s="62">
        <f t="shared" si="1"/>
        <v>6.8359375</v>
      </c>
      <c r="I19" s="52">
        <f t="shared" si="2"/>
        <v>1.09375</v>
      </c>
      <c r="J19" s="69">
        <f t="shared" si="3"/>
        <v>1.2152777777777777</v>
      </c>
      <c r="K19" s="69">
        <f t="shared" si="4"/>
        <v>1.8229166666666665</v>
      </c>
      <c r="L19" s="70">
        <f t="shared" si="10"/>
        <v>3.0381944444444442</v>
      </c>
      <c r="M19" s="72">
        <f t="shared" si="5"/>
        <v>0.94943576388888895</v>
      </c>
      <c r="N19" s="72">
        <f t="shared" si="6"/>
        <v>2.848307291666667</v>
      </c>
      <c r="O19" s="72">
        <f t="shared" si="7"/>
        <v>3.7977430555555558</v>
      </c>
      <c r="P19" s="76">
        <v>48</v>
      </c>
      <c r="Q19" s="64">
        <v>0</v>
      </c>
    </row>
    <row r="20" spans="2:17" x14ac:dyDescent="0.15">
      <c r="B20" s="15">
        <v>14</v>
      </c>
      <c r="C20" s="67" t="s">
        <v>80</v>
      </c>
      <c r="D20" s="66" t="s">
        <v>102</v>
      </c>
      <c r="E20" s="62">
        <f t="shared" si="8"/>
        <v>1.25</v>
      </c>
      <c r="F20" s="62">
        <f t="shared" si="8"/>
        <v>1.25</v>
      </c>
      <c r="G20" s="62">
        <f t="shared" si="9"/>
        <v>1.25</v>
      </c>
      <c r="H20" s="62">
        <f t="shared" si="1"/>
        <v>1.953125</v>
      </c>
      <c r="I20" s="52">
        <f t="shared" si="2"/>
        <v>1.5625</v>
      </c>
      <c r="J20" s="69">
        <f t="shared" si="3"/>
        <v>0.34722222222222221</v>
      </c>
      <c r="K20" s="69">
        <f t="shared" si="4"/>
        <v>0.52083333333333326</v>
      </c>
      <c r="L20" s="70">
        <f t="shared" si="10"/>
        <v>0.86805555555555547</v>
      </c>
      <c r="M20" s="72">
        <f t="shared" si="5"/>
        <v>0.2712673611111111</v>
      </c>
      <c r="N20" s="72">
        <f t="shared" si="6"/>
        <v>0.81380208333333326</v>
      </c>
      <c r="O20" s="72">
        <f t="shared" si="7"/>
        <v>1.0850694444444444</v>
      </c>
      <c r="P20" s="77">
        <v>11.2</v>
      </c>
      <c r="Q20" s="80">
        <v>0</v>
      </c>
    </row>
    <row r="22" spans="2:17" x14ac:dyDescent="0.15">
      <c r="D22" s="225" t="s">
        <v>365</v>
      </c>
      <c r="E22" s="44">
        <v>1.25</v>
      </c>
    </row>
    <row r="23" spans="2:17" x14ac:dyDescent="0.15">
      <c r="D23" s="225" t="s">
        <v>486</v>
      </c>
      <c r="E23" s="44">
        <v>1.1100000000000001</v>
      </c>
      <c r="H23" s="62"/>
    </row>
    <row r="24" spans="2:17" x14ac:dyDescent="0.15">
      <c r="D24" s="226" t="s">
        <v>364</v>
      </c>
    </row>
    <row r="25" spans="2:17" x14ac:dyDescent="0.15">
      <c r="D25" s="15" t="s">
        <v>165</v>
      </c>
      <c r="E25" s="62">
        <v>5</v>
      </c>
      <c r="F25" s="62">
        <v>2.8</v>
      </c>
      <c r="G25" s="62">
        <v>0.25</v>
      </c>
    </row>
    <row r="26" spans="2:17" x14ac:dyDescent="0.15">
      <c r="D26" s="15" t="s">
        <v>166</v>
      </c>
      <c r="E26" s="62">
        <v>5</v>
      </c>
      <c r="F26" s="62">
        <v>2.8</v>
      </c>
      <c r="G26" s="62">
        <v>0.25</v>
      </c>
    </row>
    <row r="27" spans="2:17" x14ac:dyDescent="0.15">
      <c r="D27" s="15" t="s">
        <v>140</v>
      </c>
      <c r="E27" s="62">
        <v>2.8</v>
      </c>
      <c r="F27" s="62">
        <v>0.5</v>
      </c>
      <c r="G27" s="62">
        <v>0.35714285714285715</v>
      </c>
    </row>
    <row r="28" spans="2:17" x14ac:dyDescent="0.15">
      <c r="D28" s="78" t="s">
        <v>168</v>
      </c>
      <c r="E28" s="62">
        <v>1.5</v>
      </c>
      <c r="F28" s="62">
        <v>2.8</v>
      </c>
      <c r="G28" s="62">
        <v>0.47620000000000001</v>
      </c>
    </row>
    <row r="29" spans="2:17" x14ac:dyDescent="0.15">
      <c r="D29" s="66" t="s">
        <v>167</v>
      </c>
      <c r="E29" s="62">
        <v>1.5</v>
      </c>
      <c r="F29" s="62">
        <v>2.8</v>
      </c>
      <c r="G29" s="62">
        <v>0.47620000000000001</v>
      </c>
    </row>
    <row r="30" spans="2:17" x14ac:dyDescent="0.15">
      <c r="D30" s="66" t="s">
        <v>164</v>
      </c>
      <c r="E30" s="62">
        <v>1.5</v>
      </c>
      <c r="F30" s="62">
        <v>2.8</v>
      </c>
      <c r="G30" s="62">
        <v>0.47620000000000001</v>
      </c>
    </row>
    <row r="31" spans="2:17" x14ac:dyDescent="0.15">
      <c r="D31" s="15" t="s">
        <v>94</v>
      </c>
      <c r="E31" s="62">
        <v>4</v>
      </c>
      <c r="F31" s="62">
        <v>2</v>
      </c>
      <c r="G31" s="62">
        <v>0.25</v>
      </c>
    </row>
    <row r="32" spans="2:17" x14ac:dyDescent="0.15">
      <c r="D32" s="15" t="s">
        <v>95</v>
      </c>
      <c r="E32" s="62">
        <v>4</v>
      </c>
      <c r="F32" s="62">
        <v>1</v>
      </c>
      <c r="G32" s="62">
        <v>1</v>
      </c>
    </row>
    <row r="33" spans="4:7" x14ac:dyDescent="0.15">
      <c r="D33" s="15" t="s">
        <v>142</v>
      </c>
      <c r="E33" s="62">
        <v>1.5</v>
      </c>
      <c r="F33" s="62">
        <v>1</v>
      </c>
      <c r="G33" s="62">
        <v>2</v>
      </c>
    </row>
    <row r="34" spans="4:7" x14ac:dyDescent="0.15">
      <c r="D34" s="15" t="s">
        <v>138</v>
      </c>
      <c r="E34" s="62">
        <v>3</v>
      </c>
      <c r="F34" s="62">
        <v>1</v>
      </c>
      <c r="G34" s="62">
        <v>0.36666666666666647</v>
      </c>
    </row>
    <row r="35" spans="4:7" x14ac:dyDescent="0.15">
      <c r="D35" s="15" t="s">
        <v>141</v>
      </c>
      <c r="E35" s="62">
        <v>1.5</v>
      </c>
      <c r="F35" s="62">
        <v>2.8</v>
      </c>
      <c r="G35" s="62">
        <v>0.47620000000000001</v>
      </c>
    </row>
    <row r="36" spans="4:7" x14ac:dyDescent="0.15">
      <c r="D36" s="66" t="s">
        <v>96</v>
      </c>
      <c r="E36" s="62">
        <v>6</v>
      </c>
      <c r="F36" s="62">
        <v>0.08</v>
      </c>
      <c r="G36" s="62">
        <v>6.25E-2</v>
      </c>
    </row>
    <row r="37" spans="4:7" x14ac:dyDescent="0.15">
      <c r="D37" s="66" t="s">
        <v>97</v>
      </c>
      <c r="E37" s="62">
        <v>5</v>
      </c>
      <c r="F37" s="62">
        <v>2.8</v>
      </c>
      <c r="G37" s="62">
        <v>0.25</v>
      </c>
    </row>
    <row r="38" spans="4:7" x14ac:dyDescent="0.15">
      <c r="D38" s="66" t="s">
        <v>102</v>
      </c>
      <c r="E38" s="62">
        <v>1</v>
      </c>
      <c r="F38" s="62">
        <v>1</v>
      </c>
      <c r="G38" s="62">
        <v>1</v>
      </c>
    </row>
  </sheetData>
  <sheetProtection password="DAA7" sheet="1" objects="1" scenarios="1"/>
  <mergeCells count="2">
    <mergeCell ref="J4:L4"/>
    <mergeCell ref="M4:O4"/>
  </mergeCells>
  <phoneticPr fontId="0" type="noConversion"/>
  <pageMargins left="0.75" right="0.75" top="1" bottom="1" header="0.5" footer="0.5"/>
  <pageSetup scale="82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indexed="10"/>
    <pageSetUpPr fitToPage="1"/>
  </sheetPr>
  <dimension ref="A1:R58"/>
  <sheetViews>
    <sheetView workbookViewId="0">
      <pane xSplit="3" ySplit="6" topLeftCell="D7" activePane="bottomRight" state="frozen"/>
      <selection activeCell="Y88" sqref="Y88"/>
      <selection pane="topRight" activeCell="Y88" sqref="Y88"/>
      <selection pane="bottomLeft" activeCell="Y88" sqref="Y88"/>
      <selection pane="bottomRight" activeCell="Y88" sqref="Y88"/>
    </sheetView>
  </sheetViews>
  <sheetFormatPr baseColWidth="10" defaultColWidth="8.83203125" defaultRowHeight="13" x14ac:dyDescent="0.15"/>
  <cols>
    <col min="1" max="1" customWidth="true" style="15" width="3.6640625" collapsed="true"/>
    <col min="2" max="2" customWidth="true" style="15" width="14.6640625" collapsed="true"/>
    <col min="3" max="3" customWidth="true" style="15" width="40.6640625" collapsed="true"/>
    <col min="4" max="16" customWidth="true" style="41" width="7.6640625" collapsed="true"/>
    <col min="17" max="16384" style="15" width="8.83203125" collapsed="true"/>
  </cols>
  <sheetData>
    <row r="1" spans="1:18" ht="16" x14ac:dyDescent="0.2">
      <c r="A1" s="60" t="s">
        <v>195</v>
      </c>
    </row>
    <row r="2" spans="1:18" ht="16" x14ac:dyDescent="0.2">
      <c r="A2" s="60" t="s">
        <v>196</v>
      </c>
    </row>
    <row r="3" spans="1:18" ht="17" thickBot="1" x14ac:dyDescent="0.25">
      <c r="A3" s="60"/>
      <c r="B3" s="60"/>
      <c r="C3" s="61">
        <v>1</v>
      </c>
      <c r="D3" s="61">
        <f>C3+1</f>
        <v>2</v>
      </c>
      <c r="E3" s="61">
        <f>D3+1</f>
        <v>3</v>
      </c>
      <c r="F3" s="61">
        <f>E3+1</f>
        <v>4</v>
      </c>
      <c r="G3" s="61">
        <f t="shared" ref="G3:P3" si="0">F3+1</f>
        <v>5</v>
      </c>
      <c r="H3" s="61">
        <f t="shared" si="0"/>
        <v>6</v>
      </c>
      <c r="I3" s="61">
        <f t="shared" si="0"/>
        <v>7</v>
      </c>
      <c r="J3" s="61">
        <f t="shared" si="0"/>
        <v>8</v>
      </c>
      <c r="K3" s="61">
        <f t="shared" si="0"/>
        <v>9</v>
      </c>
      <c r="L3" s="61">
        <f t="shared" si="0"/>
        <v>10</v>
      </c>
      <c r="M3" s="61">
        <f t="shared" si="0"/>
        <v>11</v>
      </c>
      <c r="N3" s="61">
        <f t="shared" si="0"/>
        <v>12</v>
      </c>
      <c r="O3" s="61">
        <f t="shared" si="0"/>
        <v>13</v>
      </c>
      <c r="P3" s="61">
        <f t="shared" si="0"/>
        <v>14</v>
      </c>
    </row>
    <row r="4" spans="1:18" ht="17" thickBot="1" x14ac:dyDescent="0.25">
      <c r="A4" s="60"/>
      <c r="I4" s="584" t="s">
        <v>199</v>
      </c>
      <c r="J4" s="585"/>
      <c r="K4" s="586"/>
      <c r="L4" s="587" t="s">
        <v>199</v>
      </c>
      <c r="M4" s="588"/>
      <c r="N4" s="589"/>
    </row>
    <row r="5" spans="1:18" x14ac:dyDescent="0.15">
      <c r="H5" s="15"/>
      <c r="I5" s="43"/>
      <c r="J5" s="43"/>
      <c r="K5" s="82">
        <f>(9*60)/(2700)</f>
        <v>0.2</v>
      </c>
      <c r="L5" s="42"/>
      <c r="M5" s="42"/>
      <c r="N5" s="83">
        <f>(12*60)/(2700)</f>
        <v>0.26666666666666666</v>
      </c>
    </row>
    <row r="6" spans="1:18" ht="102" customHeight="1" x14ac:dyDescent="0.15">
      <c r="B6" s="46" t="s">
        <v>47</v>
      </c>
      <c r="C6" s="46" t="s">
        <v>197</v>
      </c>
      <c r="D6" s="47" t="s">
        <v>200</v>
      </c>
      <c r="E6" s="47" t="s">
        <v>201</v>
      </c>
      <c r="F6" s="47" t="s">
        <v>202</v>
      </c>
      <c r="G6" s="47" t="s">
        <v>144</v>
      </c>
      <c r="H6" s="48" t="s">
        <v>169</v>
      </c>
      <c r="I6" s="68" t="s">
        <v>170</v>
      </c>
      <c r="J6" s="68" t="s">
        <v>171</v>
      </c>
      <c r="K6" s="68" t="s">
        <v>146</v>
      </c>
      <c r="L6" s="71" t="s">
        <v>207</v>
      </c>
      <c r="M6" s="71" t="s">
        <v>208</v>
      </c>
      <c r="N6" s="71" t="s">
        <v>172</v>
      </c>
      <c r="O6" s="73" t="s">
        <v>147</v>
      </c>
      <c r="P6" s="49" t="s">
        <v>173</v>
      </c>
    </row>
    <row r="7" spans="1:18" x14ac:dyDescent="0.15">
      <c r="B7" s="15" t="s">
        <v>102</v>
      </c>
      <c r="C7" s="50" t="s">
        <v>191</v>
      </c>
      <c r="D7" s="51">
        <v>4</v>
      </c>
      <c r="E7" s="51">
        <v>2</v>
      </c>
      <c r="F7" s="51">
        <v>2</v>
      </c>
      <c r="G7" s="51">
        <f t="shared" ref="G7:G38" si="1">D7*E7*F7</f>
        <v>16</v>
      </c>
      <c r="H7" s="52">
        <f t="shared" ref="H7:H38" si="2">MIN((D7*E7),(D7*F7),(F7*E7))</f>
        <v>4</v>
      </c>
      <c r="I7" s="69">
        <f t="shared" ref="I7:I38" si="3">K7*0.4</f>
        <v>1.2800000000000002</v>
      </c>
      <c r="J7" s="69">
        <f t="shared" ref="J7:J38" si="4">K7*0.6</f>
        <v>1.92</v>
      </c>
      <c r="K7" s="70">
        <f t="shared" ref="K7:K38" si="5">$K$5*G7</f>
        <v>3.2</v>
      </c>
      <c r="L7" s="72">
        <f>0.25*N7</f>
        <v>1.0666666666666667</v>
      </c>
      <c r="M7" s="72">
        <f>0.75*N7</f>
        <v>3.2</v>
      </c>
      <c r="N7" s="72">
        <f>$N$5*G7</f>
        <v>4.2666666666666666</v>
      </c>
      <c r="O7" s="74">
        <v>10</v>
      </c>
      <c r="P7" s="41">
        <v>0</v>
      </c>
      <c r="R7" s="53"/>
    </row>
    <row r="8" spans="1:18" x14ac:dyDescent="0.15">
      <c r="B8" s="15" t="s">
        <v>102</v>
      </c>
      <c r="C8" s="50" t="s">
        <v>193</v>
      </c>
      <c r="D8" s="51">
        <v>4</v>
      </c>
      <c r="E8" s="51">
        <v>3</v>
      </c>
      <c r="F8" s="51">
        <v>0.1</v>
      </c>
      <c r="G8" s="51">
        <f t="shared" si="1"/>
        <v>1.2000000000000002</v>
      </c>
      <c r="H8" s="52">
        <f t="shared" si="2"/>
        <v>0.30000000000000004</v>
      </c>
      <c r="I8" s="69">
        <f t="shared" si="3"/>
        <v>9.600000000000003E-2</v>
      </c>
      <c r="J8" s="69">
        <f t="shared" si="4"/>
        <v>0.14400000000000002</v>
      </c>
      <c r="K8" s="70">
        <f t="shared" si="5"/>
        <v>0.24000000000000005</v>
      </c>
      <c r="L8" s="72">
        <f t="shared" ref="L8:L57" si="6">0.25*N8</f>
        <v>8.0000000000000016E-2</v>
      </c>
      <c r="M8" s="72">
        <f t="shared" ref="M8:M57" si="7">0.75*N8</f>
        <v>0.24000000000000005</v>
      </c>
      <c r="N8" s="72">
        <f t="shared" ref="N8:N57" si="8">$N$5*G8</f>
        <v>0.32000000000000006</v>
      </c>
      <c r="O8" s="74">
        <v>30</v>
      </c>
      <c r="P8" s="41">
        <v>0</v>
      </c>
      <c r="R8" s="53"/>
    </row>
    <row r="9" spans="1:18" x14ac:dyDescent="0.15">
      <c r="B9" s="15" t="s">
        <v>102</v>
      </c>
      <c r="C9" s="50" t="s">
        <v>192</v>
      </c>
      <c r="D9" s="51">
        <v>4</v>
      </c>
      <c r="E9" s="51">
        <v>3</v>
      </c>
      <c r="F9" s="51">
        <v>0.1</v>
      </c>
      <c r="G9" s="51">
        <f t="shared" si="1"/>
        <v>1.2000000000000002</v>
      </c>
      <c r="H9" s="52">
        <f t="shared" si="2"/>
        <v>0.30000000000000004</v>
      </c>
      <c r="I9" s="69">
        <f t="shared" si="3"/>
        <v>9.600000000000003E-2</v>
      </c>
      <c r="J9" s="69">
        <f t="shared" si="4"/>
        <v>0.14400000000000002</v>
      </c>
      <c r="K9" s="70">
        <f t="shared" si="5"/>
        <v>0.24000000000000005</v>
      </c>
      <c r="L9" s="72">
        <f t="shared" si="6"/>
        <v>8.0000000000000016E-2</v>
      </c>
      <c r="M9" s="72">
        <f t="shared" si="7"/>
        <v>0.24000000000000005</v>
      </c>
      <c r="N9" s="72">
        <f t="shared" si="8"/>
        <v>0.32000000000000006</v>
      </c>
      <c r="O9" s="74">
        <v>10</v>
      </c>
      <c r="P9" s="41">
        <v>0</v>
      </c>
      <c r="R9" s="53"/>
    </row>
    <row r="10" spans="1:18" x14ac:dyDescent="0.15">
      <c r="B10" s="15" t="s">
        <v>102</v>
      </c>
      <c r="C10" s="50" t="s">
        <v>194</v>
      </c>
      <c r="D10" s="51">
        <v>7</v>
      </c>
      <c r="E10" s="51">
        <v>4</v>
      </c>
      <c r="F10" s="51">
        <v>0.1</v>
      </c>
      <c r="G10" s="51">
        <f t="shared" si="1"/>
        <v>2.8000000000000003</v>
      </c>
      <c r="H10" s="52">
        <f t="shared" si="2"/>
        <v>0.4</v>
      </c>
      <c r="I10" s="69">
        <f t="shared" si="3"/>
        <v>0.22400000000000003</v>
      </c>
      <c r="J10" s="69">
        <f t="shared" si="4"/>
        <v>0.33600000000000002</v>
      </c>
      <c r="K10" s="70">
        <f t="shared" si="5"/>
        <v>0.56000000000000005</v>
      </c>
      <c r="L10" s="72">
        <f t="shared" si="6"/>
        <v>0.18666666666666668</v>
      </c>
      <c r="M10" s="72">
        <f t="shared" si="7"/>
        <v>0.56000000000000005</v>
      </c>
      <c r="N10" s="72">
        <f t="shared" si="8"/>
        <v>0.7466666666666667</v>
      </c>
      <c r="O10" s="74">
        <v>20</v>
      </c>
      <c r="P10" s="41">
        <v>0</v>
      </c>
      <c r="R10" s="53"/>
    </row>
    <row r="11" spans="1:18" x14ac:dyDescent="0.15">
      <c r="B11" s="54" t="s">
        <v>63</v>
      </c>
      <c r="C11" s="54" t="s">
        <v>148</v>
      </c>
      <c r="D11" s="51">
        <v>3.6</v>
      </c>
      <c r="E11" s="51">
        <v>2.83</v>
      </c>
      <c r="F11" s="51">
        <v>2.17</v>
      </c>
      <c r="G11" s="51">
        <f t="shared" si="1"/>
        <v>22.107960000000002</v>
      </c>
      <c r="H11" s="52">
        <f t="shared" si="2"/>
        <v>6.1410999999999998</v>
      </c>
      <c r="I11" s="69">
        <f t="shared" si="3"/>
        <v>1.7686368000000003</v>
      </c>
      <c r="J11" s="69">
        <f t="shared" si="4"/>
        <v>2.6529552000000001</v>
      </c>
      <c r="K11" s="70">
        <f t="shared" si="5"/>
        <v>4.4215920000000004</v>
      </c>
      <c r="L11" s="72">
        <f t="shared" si="6"/>
        <v>1.4738640000000001</v>
      </c>
      <c r="M11" s="72">
        <f t="shared" si="7"/>
        <v>4.4215920000000004</v>
      </c>
      <c r="N11" s="72">
        <f t="shared" si="8"/>
        <v>5.8954560000000003</v>
      </c>
      <c r="O11" s="74">
        <v>10</v>
      </c>
      <c r="P11" s="41">
        <v>0</v>
      </c>
      <c r="R11" s="53"/>
    </row>
    <row r="12" spans="1:18" x14ac:dyDescent="0.15">
      <c r="B12" s="54" t="s">
        <v>63</v>
      </c>
      <c r="C12" s="54" t="s">
        <v>42</v>
      </c>
      <c r="D12" s="51">
        <v>4.67</v>
      </c>
      <c r="E12" s="51">
        <v>2.83</v>
      </c>
      <c r="F12" s="51">
        <v>2.17</v>
      </c>
      <c r="G12" s="51">
        <f t="shared" si="1"/>
        <v>28.678937000000001</v>
      </c>
      <c r="H12" s="52">
        <f t="shared" si="2"/>
        <v>6.1410999999999998</v>
      </c>
      <c r="I12" s="69">
        <f t="shared" si="3"/>
        <v>2.2943149600000003</v>
      </c>
      <c r="J12" s="69">
        <f t="shared" si="4"/>
        <v>3.4414724400000001</v>
      </c>
      <c r="K12" s="70">
        <f t="shared" si="5"/>
        <v>5.7357874000000004</v>
      </c>
      <c r="L12" s="72">
        <f t="shared" si="6"/>
        <v>1.9119291333333335</v>
      </c>
      <c r="M12" s="72">
        <f t="shared" si="7"/>
        <v>5.7357874000000004</v>
      </c>
      <c r="N12" s="72">
        <f t="shared" si="8"/>
        <v>7.6477165333333339</v>
      </c>
      <c r="O12" s="74">
        <v>10</v>
      </c>
      <c r="P12" s="41">
        <v>0</v>
      </c>
      <c r="R12" s="53"/>
    </row>
    <row r="13" spans="1:18" x14ac:dyDescent="0.15">
      <c r="B13" s="54" t="s">
        <v>63</v>
      </c>
      <c r="C13" s="54" t="s">
        <v>43</v>
      </c>
      <c r="D13" s="51">
        <v>6.17</v>
      </c>
      <c r="E13" s="51">
        <v>2.83</v>
      </c>
      <c r="F13" s="51">
        <v>2.17</v>
      </c>
      <c r="G13" s="51">
        <f t="shared" si="1"/>
        <v>37.890587000000004</v>
      </c>
      <c r="H13" s="52">
        <f t="shared" si="2"/>
        <v>6.1410999999999998</v>
      </c>
      <c r="I13" s="69">
        <f t="shared" si="3"/>
        <v>3.0312469600000007</v>
      </c>
      <c r="J13" s="69">
        <f t="shared" si="4"/>
        <v>4.5468704400000002</v>
      </c>
      <c r="K13" s="70">
        <f t="shared" si="5"/>
        <v>7.5781174000000009</v>
      </c>
      <c r="L13" s="72">
        <f t="shared" si="6"/>
        <v>2.5260391333333336</v>
      </c>
      <c r="M13" s="72">
        <f t="shared" si="7"/>
        <v>7.5781174000000009</v>
      </c>
      <c r="N13" s="72">
        <f t="shared" si="8"/>
        <v>10.104156533333335</v>
      </c>
      <c r="O13" s="74">
        <v>10</v>
      </c>
      <c r="P13" s="41">
        <v>0</v>
      </c>
      <c r="R13" s="53"/>
    </row>
    <row r="14" spans="1:18" x14ac:dyDescent="0.15">
      <c r="B14" s="55" t="s">
        <v>45</v>
      </c>
      <c r="C14" s="55" t="s">
        <v>149</v>
      </c>
      <c r="D14" s="51">
        <v>5.3</v>
      </c>
      <c r="E14" s="51">
        <v>4</v>
      </c>
      <c r="F14" s="51">
        <v>1.83</v>
      </c>
      <c r="G14" s="51">
        <f t="shared" si="1"/>
        <v>38.795999999999999</v>
      </c>
      <c r="H14" s="52">
        <f t="shared" si="2"/>
        <v>7.32</v>
      </c>
      <c r="I14" s="69">
        <f t="shared" si="3"/>
        <v>3.1036800000000002</v>
      </c>
      <c r="J14" s="69">
        <f t="shared" si="4"/>
        <v>4.6555200000000001</v>
      </c>
      <c r="K14" s="70">
        <f t="shared" si="5"/>
        <v>7.7591999999999999</v>
      </c>
      <c r="L14" s="72">
        <f t="shared" si="6"/>
        <v>2.5863999999999998</v>
      </c>
      <c r="M14" s="72">
        <f t="shared" si="7"/>
        <v>7.7591999999999999</v>
      </c>
      <c r="N14" s="72">
        <f t="shared" si="8"/>
        <v>10.345599999999999</v>
      </c>
      <c r="O14" s="74">
        <v>12</v>
      </c>
      <c r="P14" s="41">
        <v>0</v>
      </c>
      <c r="R14" s="53"/>
    </row>
    <row r="15" spans="1:18" x14ac:dyDescent="0.15">
      <c r="B15" s="55" t="s">
        <v>45</v>
      </c>
      <c r="C15" s="55" t="s">
        <v>150</v>
      </c>
      <c r="D15" s="51">
        <v>5.3</v>
      </c>
      <c r="E15" s="51">
        <v>4</v>
      </c>
      <c r="F15" s="51">
        <v>1.83</v>
      </c>
      <c r="G15" s="51">
        <f t="shared" si="1"/>
        <v>38.795999999999999</v>
      </c>
      <c r="H15" s="52">
        <f t="shared" si="2"/>
        <v>7.32</v>
      </c>
      <c r="I15" s="69">
        <f t="shared" si="3"/>
        <v>3.1036800000000002</v>
      </c>
      <c r="J15" s="69">
        <f t="shared" si="4"/>
        <v>4.6555200000000001</v>
      </c>
      <c r="K15" s="70">
        <f t="shared" si="5"/>
        <v>7.7591999999999999</v>
      </c>
      <c r="L15" s="72">
        <f t="shared" si="6"/>
        <v>2.5863999999999998</v>
      </c>
      <c r="M15" s="72">
        <f t="shared" si="7"/>
        <v>7.7591999999999999</v>
      </c>
      <c r="N15" s="72">
        <f t="shared" si="8"/>
        <v>10.345599999999999</v>
      </c>
      <c r="O15" s="74">
        <v>120</v>
      </c>
      <c r="P15" s="41">
        <v>0</v>
      </c>
      <c r="R15" s="53"/>
    </row>
    <row r="16" spans="1:18" x14ac:dyDescent="0.15">
      <c r="B16" s="55" t="s">
        <v>45</v>
      </c>
      <c r="C16" s="55" t="s">
        <v>174</v>
      </c>
      <c r="D16" s="51">
        <v>5.3</v>
      </c>
      <c r="E16" s="51">
        <v>4</v>
      </c>
      <c r="F16" s="51">
        <v>1.83</v>
      </c>
      <c r="G16" s="51">
        <f t="shared" si="1"/>
        <v>38.795999999999999</v>
      </c>
      <c r="H16" s="52">
        <f t="shared" si="2"/>
        <v>7.32</v>
      </c>
      <c r="I16" s="69">
        <f t="shared" si="3"/>
        <v>3.1036800000000002</v>
      </c>
      <c r="J16" s="69">
        <f t="shared" si="4"/>
        <v>4.6555200000000001</v>
      </c>
      <c r="K16" s="70">
        <f t="shared" si="5"/>
        <v>7.7591999999999999</v>
      </c>
      <c r="L16" s="72">
        <f t="shared" si="6"/>
        <v>2.5863999999999998</v>
      </c>
      <c r="M16" s="72">
        <f t="shared" si="7"/>
        <v>7.7591999999999999</v>
      </c>
      <c r="N16" s="72">
        <f t="shared" si="8"/>
        <v>10.345599999999999</v>
      </c>
      <c r="O16" s="74">
        <v>35</v>
      </c>
      <c r="P16" s="41">
        <v>0</v>
      </c>
      <c r="R16" s="53"/>
    </row>
    <row r="17" spans="2:18" x14ac:dyDescent="0.15">
      <c r="B17" s="56" t="s">
        <v>175</v>
      </c>
      <c r="C17" s="56" t="s">
        <v>178</v>
      </c>
      <c r="D17" s="51">
        <v>6.5</v>
      </c>
      <c r="E17" s="51">
        <v>2.67</v>
      </c>
      <c r="F17" s="51">
        <v>2.5</v>
      </c>
      <c r="G17" s="51">
        <f t="shared" si="1"/>
        <v>43.387500000000003</v>
      </c>
      <c r="H17" s="52">
        <f t="shared" si="2"/>
        <v>6.6749999999999998</v>
      </c>
      <c r="I17" s="69">
        <f t="shared" si="3"/>
        <v>3.4710000000000001</v>
      </c>
      <c r="J17" s="69">
        <f t="shared" si="4"/>
        <v>5.2065000000000001</v>
      </c>
      <c r="K17" s="70">
        <f t="shared" si="5"/>
        <v>8.6775000000000002</v>
      </c>
      <c r="L17" s="72">
        <f t="shared" si="6"/>
        <v>2.8925000000000001</v>
      </c>
      <c r="M17" s="72">
        <f t="shared" si="7"/>
        <v>8.6775000000000002</v>
      </c>
      <c r="N17" s="72">
        <f t="shared" si="8"/>
        <v>11.57</v>
      </c>
      <c r="O17" s="74">
        <v>20</v>
      </c>
      <c r="P17" s="41">
        <v>0</v>
      </c>
      <c r="R17" s="53"/>
    </row>
    <row r="18" spans="2:18" x14ac:dyDescent="0.15">
      <c r="B18" s="56" t="s">
        <v>175</v>
      </c>
      <c r="C18" s="56" t="s">
        <v>179</v>
      </c>
      <c r="D18" s="51">
        <v>6.5</v>
      </c>
      <c r="E18" s="51">
        <v>1</v>
      </c>
      <c r="F18" s="51">
        <v>2.5</v>
      </c>
      <c r="G18" s="51">
        <f t="shared" si="1"/>
        <v>16.25</v>
      </c>
      <c r="H18" s="52">
        <f t="shared" si="2"/>
        <v>2.5</v>
      </c>
      <c r="I18" s="69">
        <f t="shared" si="3"/>
        <v>1.3</v>
      </c>
      <c r="J18" s="69">
        <f t="shared" si="4"/>
        <v>1.95</v>
      </c>
      <c r="K18" s="70">
        <f t="shared" si="5"/>
        <v>3.25</v>
      </c>
      <c r="L18" s="72">
        <f t="shared" si="6"/>
        <v>1.0833333333333333</v>
      </c>
      <c r="M18" s="72">
        <f t="shared" si="7"/>
        <v>3.25</v>
      </c>
      <c r="N18" s="72">
        <f t="shared" si="8"/>
        <v>4.333333333333333</v>
      </c>
      <c r="O18" s="74">
        <v>120</v>
      </c>
      <c r="P18" s="41">
        <v>0</v>
      </c>
      <c r="R18" s="53"/>
    </row>
    <row r="19" spans="2:18" x14ac:dyDescent="0.15">
      <c r="B19" s="56" t="s">
        <v>177</v>
      </c>
      <c r="C19" s="56" t="s">
        <v>180</v>
      </c>
      <c r="D19" s="51">
        <v>6.5</v>
      </c>
      <c r="E19" s="51">
        <v>2.67</v>
      </c>
      <c r="F19" s="51">
        <v>3.33</v>
      </c>
      <c r="G19" s="51">
        <f t="shared" si="1"/>
        <v>57.792149999999999</v>
      </c>
      <c r="H19" s="52">
        <f t="shared" si="2"/>
        <v>8.8910999999999998</v>
      </c>
      <c r="I19" s="69">
        <f t="shared" si="3"/>
        <v>4.6233720000000007</v>
      </c>
      <c r="J19" s="69">
        <f t="shared" si="4"/>
        <v>6.9350580000000006</v>
      </c>
      <c r="K19" s="70">
        <f t="shared" si="5"/>
        <v>11.558430000000001</v>
      </c>
      <c r="L19" s="72">
        <f t="shared" si="6"/>
        <v>3.8528099999999998</v>
      </c>
      <c r="M19" s="72">
        <f t="shared" si="7"/>
        <v>11.55843</v>
      </c>
      <c r="N19" s="72">
        <f t="shared" si="8"/>
        <v>15.411239999999999</v>
      </c>
      <c r="O19" s="74">
        <v>20</v>
      </c>
      <c r="P19" s="41">
        <v>0</v>
      </c>
      <c r="R19" s="53"/>
    </row>
    <row r="20" spans="2:18" x14ac:dyDescent="0.15">
      <c r="B20" s="56" t="s">
        <v>177</v>
      </c>
      <c r="C20" s="56" t="s">
        <v>181</v>
      </c>
      <c r="D20" s="51">
        <v>6.5</v>
      </c>
      <c r="E20" s="51">
        <v>2.67</v>
      </c>
      <c r="F20" s="51">
        <v>3.33</v>
      </c>
      <c r="G20" s="51">
        <f t="shared" si="1"/>
        <v>57.792149999999999</v>
      </c>
      <c r="H20" s="52">
        <f t="shared" si="2"/>
        <v>8.8910999999999998</v>
      </c>
      <c r="I20" s="69">
        <f t="shared" si="3"/>
        <v>4.6233720000000007</v>
      </c>
      <c r="J20" s="69">
        <f t="shared" si="4"/>
        <v>6.9350580000000006</v>
      </c>
      <c r="K20" s="70">
        <f t="shared" si="5"/>
        <v>11.558430000000001</v>
      </c>
      <c r="L20" s="72">
        <f t="shared" si="6"/>
        <v>3.8528099999999998</v>
      </c>
      <c r="M20" s="72">
        <f t="shared" si="7"/>
        <v>11.55843</v>
      </c>
      <c r="N20" s="72">
        <f t="shared" si="8"/>
        <v>15.411239999999999</v>
      </c>
      <c r="O20" s="74">
        <v>30</v>
      </c>
      <c r="P20" s="41">
        <v>0</v>
      </c>
      <c r="R20" s="53"/>
    </row>
    <row r="21" spans="2:18" x14ac:dyDescent="0.15">
      <c r="B21" s="56" t="s">
        <v>177</v>
      </c>
      <c r="C21" s="56" t="s">
        <v>182</v>
      </c>
      <c r="D21" s="51">
        <v>6.5</v>
      </c>
      <c r="E21" s="51">
        <v>3.33</v>
      </c>
      <c r="F21" s="51">
        <v>1.33</v>
      </c>
      <c r="G21" s="51">
        <f t="shared" si="1"/>
        <v>28.787850000000002</v>
      </c>
      <c r="H21" s="52">
        <f t="shared" si="2"/>
        <v>4.4289000000000005</v>
      </c>
      <c r="I21" s="69">
        <f t="shared" si="3"/>
        <v>2.3030280000000007</v>
      </c>
      <c r="J21" s="69">
        <f t="shared" si="4"/>
        <v>3.4545420000000004</v>
      </c>
      <c r="K21" s="70">
        <f t="shared" si="5"/>
        <v>5.7575700000000012</v>
      </c>
      <c r="L21" s="72">
        <f t="shared" si="6"/>
        <v>1.9191900000000002</v>
      </c>
      <c r="M21" s="72">
        <f t="shared" si="7"/>
        <v>5.7575700000000003</v>
      </c>
      <c r="N21" s="72">
        <f t="shared" si="8"/>
        <v>7.6767600000000007</v>
      </c>
      <c r="O21" s="74">
        <v>90</v>
      </c>
      <c r="P21" s="41">
        <v>0</v>
      </c>
      <c r="R21" s="53"/>
    </row>
    <row r="22" spans="2:18" x14ac:dyDescent="0.15">
      <c r="B22" s="56" t="s">
        <v>177</v>
      </c>
      <c r="C22" s="56" t="s">
        <v>183</v>
      </c>
      <c r="D22" s="51">
        <v>6.5</v>
      </c>
      <c r="E22" s="51">
        <v>3.33</v>
      </c>
      <c r="F22" s="51">
        <v>1.33</v>
      </c>
      <c r="G22" s="51">
        <f t="shared" si="1"/>
        <v>28.787850000000002</v>
      </c>
      <c r="H22" s="52">
        <f t="shared" si="2"/>
        <v>4.4289000000000005</v>
      </c>
      <c r="I22" s="69">
        <f t="shared" si="3"/>
        <v>2.3030280000000007</v>
      </c>
      <c r="J22" s="69">
        <f t="shared" si="4"/>
        <v>3.4545420000000004</v>
      </c>
      <c r="K22" s="70">
        <f t="shared" si="5"/>
        <v>5.7575700000000012</v>
      </c>
      <c r="L22" s="72">
        <f t="shared" si="6"/>
        <v>1.9191900000000002</v>
      </c>
      <c r="M22" s="72">
        <f t="shared" si="7"/>
        <v>5.7575700000000003</v>
      </c>
      <c r="N22" s="72">
        <f t="shared" si="8"/>
        <v>7.6767600000000007</v>
      </c>
      <c r="O22" s="74">
        <v>120</v>
      </c>
      <c r="P22" s="41">
        <v>0</v>
      </c>
      <c r="R22" s="53"/>
    </row>
    <row r="23" spans="2:18" x14ac:dyDescent="0.15">
      <c r="B23" s="56" t="s">
        <v>177</v>
      </c>
      <c r="C23" s="56" t="s">
        <v>184</v>
      </c>
      <c r="D23" s="51">
        <v>4.33</v>
      </c>
      <c r="E23" s="51">
        <v>2.17</v>
      </c>
      <c r="F23" s="51">
        <v>2.83</v>
      </c>
      <c r="G23" s="51">
        <f t="shared" si="1"/>
        <v>26.590963000000002</v>
      </c>
      <c r="H23" s="52">
        <f t="shared" si="2"/>
        <v>6.1410999999999998</v>
      </c>
      <c r="I23" s="69">
        <f t="shared" si="3"/>
        <v>2.1272770400000005</v>
      </c>
      <c r="J23" s="69">
        <f t="shared" si="4"/>
        <v>3.1909155600000001</v>
      </c>
      <c r="K23" s="70">
        <f t="shared" si="5"/>
        <v>5.3181926000000006</v>
      </c>
      <c r="L23" s="72">
        <f t="shared" si="6"/>
        <v>1.7727308666666668</v>
      </c>
      <c r="M23" s="72">
        <f t="shared" si="7"/>
        <v>5.3181926000000006</v>
      </c>
      <c r="N23" s="72">
        <f t="shared" si="8"/>
        <v>7.0909234666666672</v>
      </c>
      <c r="O23" s="74">
        <v>15</v>
      </c>
      <c r="P23" s="41">
        <v>0</v>
      </c>
      <c r="R23" s="53"/>
    </row>
    <row r="24" spans="2:18" x14ac:dyDescent="0.15">
      <c r="B24" s="56" t="s">
        <v>177</v>
      </c>
      <c r="C24" s="56" t="s">
        <v>185</v>
      </c>
      <c r="D24" s="51">
        <v>4.33</v>
      </c>
      <c r="E24" s="51">
        <v>1</v>
      </c>
      <c r="F24" s="51">
        <v>2.83</v>
      </c>
      <c r="G24" s="51">
        <f t="shared" si="1"/>
        <v>12.2539</v>
      </c>
      <c r="H24" s="52">
        <f t="shared" si="2"/>
        <v>2.83</v>
      </c>
      <c r="I24" s="69">
        <f t="shared" si="3"/>
        <v>0.98031200000000007</v>
      </c>
      <c r="J24" s="69">
        <f t="shared" si="4"/>
        <v>1.4704679999999999</v>
      </c>
      <c r="K24" s="70">
        <f t="shared" si="5"/>
        <v>2.45078</v>
      </c>
      <c r="L24" s="72">
        <f t="shared" si="6"/>
        <v>0.81692666666666669</v>
      </c>
      <c r="M24" s="72">
        <f t="shared" si="7"/>
        <v>2.45078</v>
      </c>
      <c r="N24" s="72">
        <f t="shared" si="8"/>
        <v>3.2677066666666668</v>
      </c>
      <c r="O24" s="74">
        <v>60</v>
      </c>
      <c r="P24" s="41">
        <v>0</v>
      </c>
      <c r="R24" s="53"/>
    </row>
    <row r="25" spans="2:18" x14ac:dyDescent="0.15">
      <c r="B25" s="56" t="s">
        <v>177</v>
      </c>
      <c r="C25" s="56" t="s">
        <v>186</v>
      </c>
      <c r="D25" s="51">
        <v>6.5</v>
      </c>
      <c r="E25" s="51">
        <v>1</v>
      </c>
      <c r="F25" s="51">
        <v>3.33</v>
      </c>
      <c r="G25" s="51">
        <f t="shared" si="1"/>
        <v>21.645</v>
      </c>
      <c r="H25" s="52">
        <f t="shared" si="2"/>
        <v>3.33</v>
      </c>
      <c r="I25" s="69">
        <f t="shared" si="3"/>
        <v>1.7316</v>
      </c>
      <c r="J25" s="69">
        <f t="shared" si="4"/>
        <v>2.5973999999999999</v>
      </c>
      <c r="K25" s="70">
        <f t="shared" si="5"/>
        <v>4.3289999999999997</v>
      </c>
      <c r="L25" s="72">
        <f t="shared" si="6"/>
        <v>1.4430000000000001</v>
      </c>
      <c r="M25" s="72">
        <f t="shared" si="7"/>
        <v>4.3290000000000006</v>
      </c>
      <c r="N25" s="72">
        <f t="shared" si="8"/>
        <v>5.7720000000000002</v>
      </c>
      <c r="O25" s="74">
        <v>45</v>
      </c>
      <c r="P25" s="41">
        <v>0</v>
      </c>
      <c r="R25" s="53"/>
    </row>
    <row r="26" spans="2:18" x14ac:dyDescent="0.15">
      <c r="B26" s="57" t="s">
        <v>44</v>
      </c>
      <c r="C26" s="57" t="s">
        <v>151</v>
      </c>
      <c r="D26" s="51">
        <v>4</v>
      </c>
      <c r="E26" s="51">
        <v>4</v>
      </c>
      <c r="F26" s="51">
        <v>3</v>
      </c>
      <c r="G26" s="51">
        <f t="shared" si="1"/>
        <v>48</v>
      </c>
      <c r="H26" s="52">
        <f t="shared" si="2"/>
        <v>12</v>
      </c>
      <c r="I26" s="69">
        <f t="shared" si="3"/>
        <v>3.8400000000000007</v>
      </c>
      <c r="J26" s="69">
        <f t="shared" si="4"/>
        <v>5.7600000000000007</v>
      </c>
      <c r="K26" s="70">
        <f t="shared" si="5"/>
        <v>9.6000000000000014</v>
      </c>
      <c r="L26" s="72">
        <f t="shared" si="6"/>
        <v>3.2</v>
      </c>
      <c r="M26" s="72">
        <f t="shared" si="7"/>
        <v>9.6000000000000014</v>
      </c>
      <c r="N26" s="72">
        <f t="shared" si="8"/>
        <v>12.8</v>
      </c>
      <c r="O26" s="74">
        <v>20</v>
      </c>
      <c r="P26" s="41">
        <v>0</v>
      </c>
      <c r="R26" s="53"/>
    </row>
    <row r="27" spans="2:18" x14ac:dyDescent="0.15">
      <c r="B27" s="57" t="s">
        <v>44</v>
      </c>
      <c r="C27" s="57" t="s">
        <v>55</v>
      </c>
      <c r="D27" s="51">
        <v>2.67</v>
      </c>
      <c r="E27" s="51">
        <v>3.33</v>
      </c>
      <c r="F27" s="51">
        <v>2</v>
      </c>
      <c r="G27" s="51">
        <f t="shared" si="1"/>
        <v>17.7822</v>
      </c>
      <c r="H27" s="52">
        <f t="shared" si="2"/>
        <v>5.34</v>
      </c>
      <c r="I27" s="69">
        <f t="shared" si="3"/>
        <v>1.4225760000000003</v>
      </c>
      <c r="J27" s="69">
        <f t="shared" si="4"/>
        <v>2.133864</v>
      </c>
      <c r="K27" s="70">
        <f t="shared" si="5"/>
        <v>3.5564400000000003</v>
      </c>
      <c r="L27" s="72">
        <f t="shared" si="6"/>
        <v>1.1854799999999999</v>
      </c>
      <c r="M27" s="72">
        <f t="shared" si="7"/>
        <v>3.5564399999999994</v>
      </c>
      <c r="N27" s="72">
        <f t="shared" si="8"/>
        <v>4.7419199999999995</v>
      </c>
      <c r="O27" s="74">
        <v>10</v>
      </c>
      <c r="P27" s="41">
        <v>0</v>
      </c>
      <c r="R27" s="53"/>
    </row>
    <row r="28" spans="2:18" x14ac:dyDescent="0.15">
      <c r="B28" s="57" t="s">
        <v>44</v>
      </c>
      <c r="C28" s="57" t="s">
        <v>56</v>
      </c>
      <c r="D28" s="51">
        <v>4</v>
      </c>
      <c r="E28" s="51">
        <v>3.33</v>
      </c>
      <c r="F28" s="51">
        <v>2</v>
      </c>
      <c r="G28" s="51">
        <f t="shared" si="1"/>
        <v>26.64</v>
      </c>
      <c r="H28" s="52">
        <f t="shared" si="2"/>
        <v>6.66</v>
      </c>
      <c r="I28" s="69">
        <f t="shared" si="3"/>
        <v>2.1312000000000002</v>
      </c>
      <c r="J28" s="69">
        <f t="shared" si="4"/>
        <v>3.1968000000000001</v>
      </c>
      <c r="K28" s="70">
        <f t="shared" si="5"/>
        <v>5.3280000000000003</v>
      </c>
      <c r="L28" s="72">
        <f t="shared" si="6"/>
        <v>1.776</v>
      </c>
      <c r="M28" s="72">
        <f t="shared" si="7"/>
        <v>5.3280000000000003</v>
      </c>
      <c r="N28" s="72">
        <f t="shared" si="8"/>
        <v>7.1040000000000001</v>
      </c>
      <c r="O28" s="74">
        <v>10</v>
      </c>
      <c r="P28" s="41">
        <v>0</v>
      </c>
      <c r="R28" s="53"/>
    </row>
    <row r="29" spans="2:18" x14ac:dyDescent="0.15">
      <c r="B29" s="57" t="s">
        <v>44</v>
      </c>
      <c r="C29" s="57" t="s">
        <v>57</v>
      </c>
      <c r="D29" s="51">
        <v>5.3</v>
      </c>
      <c r="E29" s="51">
        <v>3.33</v>
      </c>
      <c r="F29" s="51">
        <v>2</v>
      </c>
      <c r="G29" s="51">
        <f t="shared" si="1"/>
        <v>35.298000000000002</v>
      </c>
      <c r="H29" s="52">
        <f t="shared" si="2"/>
        <v>6.66</v>
      </c>
      <c r="I29" s="69">
        <f t="shared" si="3"/>
        <v>2.8238400000000006</v>
      </c>
      <c r="J29" s="69">
        <f t="shared" si="4"/>
        <v>4.23576</v>
      </c>
      <c r="K29" s="70">
        <f t="shared" si="5"/>
        <v>7.0596000000000005</v>
      </c>
      <c r="L29" s="72">
        <f t="shared" si="6"/>
        <v>2.3532000000000002</v>
      </c>
      <c r="M29" s="72">
        <f t="shared" si="7"/>
        <v>7.0596000000000005</v>
      </c>
      <c r="N29" s="72">
        <f t="shared" si="8"/>
        <v>9.4128000000000007</v>
      </c>
      <c r="O29" s="74">
        <v>10</v>
      </c>
      <c r="P29" s="41">
        <v>0</v>
      </c>
      <c r="R29" s="53"/>
    </row>
    <row r="30" spans="2:18" x14ac:dyDescent="0.15">
      <c r="B30" s="57" t="s">
        <v>44</v>
      </c>
      <c r="C30" s="57" t="s">
        <v>58</v>
      </c>
      <c r="D30" s="51">
        <v>6.7</v>
      </c>
      <c r="E30" s="51">
        <v>3.33</v>
      </c>
      <c r="F30" s="51">
        <v>2</v>
      </c>
      <c r="G30" s="51">
        <f t="shared" si="1"/>
        <v>44.622</v>
      </c>
      <c r="H30" s="52">
        <f t="shared" si="2"/>
        <v>6.66</v>
      </c>
      <c r="I30" s="69">
        <f t="shared" si="3"/>
        <v>3.5697600000000005</v>
      </c>
      <c r="J30" s="69">
        <f t="shared" si="4"/>
        <v>5.3546399999999998</v>
      </c>
      <c r="K30" s="70">
        <f t="shared" si="5"/>
        <v>8.9244000000000003</v>
      </c>
      <c r="L30" s="72">
        <f t="shared" si="6"/>
        <v>2.9748000000000001</v>
      </c>
      <c r="M30" s="72">
        <f t="shared" si="7"/>
        <v>8.9244000000000003</v>
      </c>
      <c r="N30" s="72">
        <f t="shared" si="8"/>
        <v>11.8992</v>
      </c>
      <c r="O30" s="74">
        <v>10</v>
      </c>
      <c r="P30" s="41">
        <v>0</v>
      </c>
      <c r="R30" s="53"/>
    </row>
    <row r="31" spans="2:18" x14ac:dyDescent="0.15">
      <c r="B31" s="57" t="s">
        <v>44</v>
      </c>
      <c r="C31" s="57" t="s">
        <v>152</v>
      </c>
      <c r="D31" s="51">
        <v>2.67</v>
      </c>
      <c r="E31" s="51">
        <v>3.33</v>
      </c>
      <c r="F31" s="51">
        <v>2</v>
      </c>
      <c r="G31" s="51">
        <f t="shared" si="1"/>
        <v>17.7822</v>
      </c>
      <c r="H31" s="52">
        <f t="shared" si="2"/>
        <v>5.34</v>
      </c>
      <c r="I31" s="69">
        <f t="shared" si="3"/>
        <v>1.4225760000000003</v>
      </c>
      <c r="J31" s="69">
        <f t="shared" si="4"/>
        <v>2.133864</v>
      </c>
      <c r="K31" s="70">
        <f t="shared" si="5"/>
        <v>3.5564400000000003</v>
      </c>
      <c r="L31" s="72">
        <f t="shared" si="6"/>
        <v>1.1854799999999999</v>
      </c>
      <c r="M31" s="72">
        <f t="shared" si="7"/>
        <v>3.5564399999999994</v>
      </c>
      <c r="N31" s="72">
        <f t="shared" si="8"/>
        <v>4.7419199999999995</v>
      </c>
      <c r="O31" s="74">
        <v>20</v>
      </c>
      <c r="P31" s="41">
        <v>0</v>
      </c>
      <c r="R31" s="53"/>
    </row>
    <row r="32" spans="2:18" x14ac:dyDescent="0.15">
      <c r="B32" s="57" t="s">
        <v>44</v>
      </c>
      <c r="C32" s="57" t="s">
        <v>59</v>
      </c>
      <c r="D32" s="51">
        <v>2.67</v>
      </c>
      <c r="E32" s="51">
        <v>1.83</v>
      </c>
      <c r="F32" s="51">
        <v>1.75</v>
      </c>
      <c r="G32" s="51">
        <f t="shared" si="1"/>
        <v>8.550675</v>
      </c>
      <c r="H32" s="52">
        <f t="shared" si="2"/>
        <v>3.2025000000000001</v>
      </c>
      <c r="I32" s="69">
        <f t="shared" si="3"/>
        <v>0.68405400000000016</v>
      </c>
      <c r="J32" s="69">
        <f t="shared" si="4"/>
        <v>1.026081</v>
      </c>
      <c r="K32" s="70">
        <f t="shared" si="5"/>
        <v>1.7101350000000002</v>
      </c>
      <c r="L32" s="72">
        <f t="shared" si="6"/>
        <v>0.57004500000000002</v>
      </c>
      <c r="M32" s="72">
        <f t="shared" si="7"/>
        <v>1.7101350000000002</v>
      </c>
      <c r="N32" s="72">
        <f t="shared" si="8"/>
        <v>2.2801800000000001</v>
      </c>
      <c r="O32" s="74">
        <v>10</v>
      </c>
      <c r="P32" s="41">
        <v>0</v>
      </c>
      <c r="R32" s="53"/>
    </row>
    <row r="33" spans="2:18" x14ac:dyDescent="0.15">
      <c r="B33" s="57" t="s">
        <v>44</v>
      </c>
      <c r="C33" s="57" t="s">
        <v>60</v>
      </c>
      <c r="D33" s="51">
        <v>4</v>
      </c>
      <c r="E33" s="51">
        <v>1.83</v>
      </c>
      <c r="F33" s="51">
        <v>1.75</v>
      </c>
      <c r="G33" s="51">
        <f t="shared" si="1"/>
        <v>12.81</v>
      </c>
      <c r="H33" s="52">
        <f t="shared" si="2"/>
        <v>3.2025000000000001</v>
      </c>
      <c r="I33" s="69">
        <f t="shared" si="3"/>
        <v>1.0248000000000002</v>
      </c>
      <c r="J33" s="69">
        <f t="shared" si="4"/>
        <v>1.5372000000000001</v>
      </c>
      <c r="K33" s="70">
        <f t="shared" si="5"/>
        <v>2.5620000000000003</v>
      </c>
      <c r="L33" s="72">
        <f t="shared" si="6"/>
        <v>0.85399999999999998</v>
      </c>
      <c r="M33" s="72">
        <f t="shared" si="7"/>
        <v>2.5619999999999998</v>
      </c>
      <c r="N33" s="72">
        <f t="shared" si="8"/>
        <v>3.4159999999999999</v>
      </c>
      <c r="O33" s="74">
        <v>10</v>
      </c>
      <c r="P33" s="41">
        <v>0</v>
      </c>
      <c r="R33" s="53"/>
    </row>
    <row r="34" spans="2:18" x14ac:dyDescent="0.15">
      <c r="B34" s="57" t="s">
        <v>44</v>
      </c>
      <c r="C34" s="57" t="s">
        <v>61</v>
      </c>
      <c r="D34" s="51">
        <v>5.3</v>
      </c>
      <c r="E34" s="51">
        <v>1.83</v>
      </c>
      <c r="F34" s="51">
        <v>1.75</v>
      </c>
      <c r="G34" s="51">
        <f t="shared" si="1"/>
        <v>16.97325</v>
      </c>
      <c r="H34" s="52">
        <f t="shared" si="2"/>
        <v>3.2025000000000001</v>
      </c>
      <c r="I34" s="69">
        <f t="shared" si="3"/>
        <v>1.3578600000000003</v>
      </c>
      <c r="J34" s="69">
        <f t="shared" si="4"/>
        <v>2.0367900000000003</v>
      </c>
      <c r="K34" s="70">
        <f t="shared" si="5"/>
        <v>3.3946500000000004</v>
      </c>
      <c r="L34" s="72">
        <f t="shared" si="6"/>
        <v>1.1315500000000001</v>
      </c>
      <c r="M34" s="72">
        <f t="shared" si="7"/>
        <v>3.3946500000000004</v>
      </c>
      <c r="N34" s="72">
        <f t="shared" si="8"/>
        <v>4.5262000000000002</v>
      </c>
      <c r="O34" s="74">
        <v>10</v>
      </c>
      <c r="P34" s="41">
        <v>0</v>
      </c>
      <c r="R34" s="53"/>
    </row>
    <row r="35" spans="2:18" x14ac:dyDescent="0.15">
      <c r="B35" s="57" t="s">
        <v>44</v>
      </c>
      <c r="C35" s="57" t="s">
        <v>62</v>
      </c>
      <c r="D35" s="51">
        <v>6.7</v>
      </c>
      <c r="E35" s="51">
        <v>1.83</v>
      </c>
      <c r="F35" s="51">
        <v>1.75</v>
      </c>
      <c r="G35" s="51">
        <f t="shared" si="1"/>
        <v>21.456750000000003</v>
      </c>
      <c r="H35" s="52">
        <f t="shared" si="2"/>
        <v>3.2025000000000001</v>
      </c>
      <c r="I35" s="69">
        <f t="shared" si="3"/>
        <v>1.7165400000000002</v>
      </c>
      <c r="J35" s="69">
        <f t="shared" si="4"/>
        <v>2.5748100000000003</v>
      </c>
      <c r="K35" s="70">
        <f t="shared" si="5"/>
        <v>4.2913500000000004</v>
      </c>
      <c r="L35" s="72">
        <f t="shared" si="6"/>
        <v>1.4304500000000002</v>
      </c>
      <c r="M35" s="72">
        <f t="shared" si="7"/>
        <v>4.2913500000000004</v>
      </c>
      <c r="N35" s="72">
        <f t="shared" si="8"/>
        <v>5.7218000000000009</v>
      </c>
      <c r="O35" s="74">
        <v>10</v>
      </c>
      <c r="P35" s="41">
        <v>0</v>
      </c>
      <c r="R35" s="53"/>
    </row>
    <row r="36" spans="2:18" x14ac:dyDescent="0.15">
      <c r="B36" s="56" t="s">
        <v>176</v>
      </c>
      <c r="C36" s="56" t="s">
        <v>187</v>
      </c>
      <c r="D36" s="51">
        <v>6.5</v>
      </c>
      <c r="E36" s="51">
        <v>2.67</v>
      </c>
      <c r="F36" s="51">
        <v>3.33</v>
      </c>
      <c r="G36" s="51">
        <f t="shared" si="1"/>
        <v>57.792149999999999</v>
      </c>
      <c r="H36" s="52">
        <f t="shared" si="2"/>
        <v>8.8910999999999998</v>
      </c>
      <c r="I36" s="69">
        <f t="shared" si="3"/>
        <v>4.6233720000000007</v>
      </c>
      <c r="J36" s="69">
        <f t="shared" si="4"/>
        <v>6.9350580000000006</v>
      </c>
      <c r="K36" s="70">
        <f t="shared" si="5"/>
        <v>11.558430000000001</v>
      </c>
      <c r="L36" s="72">
        <f t="shared" si="6"/>
        <v>3.8528099999999998</v>
      </c>
      <c r="M36" s="72">
        <f t="shared" si="7"/>
        <v>11.55843</v>
      </c>
      <c r="N36" s="72">
        <f t="shared" si="8"/>
        <v>15.411239999999999</v>
      </c>
      <c r="O36" s="74">
        <v>20</v>
      </c>
      <c r="P36" s="41">
        <v>0</v>
      </c>
      <c r="R36" s="53"/>
    </row>
    <row r="37" spans="2:18" x14ac:dyDescent="0.15">
      <c r="B37" s="56" t="s">
        <v>176</v>
      </c>
      <c r="C37" s="56" t="s">
        <v>188</v>
      </c>
      <c r="D37" s="51">
        <v>6.5</v>
      </c>
      <c r="E37" s="51">
        <v>1.83</v>
      </c>
      <c r="F37" s="51">
        <v>2</v>
      </c>
      <c r="G37" s="51">
        <f t="shared" si="1"/>
        <v>23.79</v>
      </c>
      <c r="H37" s="52">
        <f t="shared" si="2"/>
        <v>3.66</v>
      </c>
      <c r="I37" s="69">
        <f t="shared" si="3"/>
        <v>1.9032</v>
      </c>
      <c r="J37" s="69">
        <f t="shared" si="4"/>
        <v>2.8548</v>
      </c>
      <c r="K37" s="70">
        <f t="shared" si="5"/>
        <v>4.758</v>
      </c>
      <c r="L37" s="72">
        <f t="shared" si="6"/>
        <v>1.5859999999999999</v>
      </c>
      <c r="M37" s="72">
        <f t="shared" si="7"/>
        <v>4.7579999999999991</v>
      </c>
      <c r="N37" s="72">
        <f t="shared" si="8"/>
        <v>6.3439999999999994</v>
      </c>
      <c r="O37" s="74">
        <v>120</v>
      </c>
      <c r="P37" s="41">
        <v>0</v>
      </c>
      <c r="R37" s="53"/>
    </row>
    <row r="38" spans="2:18" x14ac:dyDescent="0.15">
      <c r="B38" s="56" t="s">
        <v>176</v>
      </c>
      <c r="C38" s="56" t="s">
        <v>189</v>
      </c>
      <c r="D38" s="51">
        <v>5.3</v>
      </c>
      <c r="E38" s="51">
        <v>1.83</v>
      </c>
      <c r="F38" s="51">
        <v>2</v>
      </c>
      <c r="G38" s="51">
        <f t="shared" si="1"/>
        <v>19.398</v>
      </c>
      <c r="H38" s="52">
        <f t="shared" si="2"/>
        <v>3.66</v>
      </c>
      <c r="I38" s="69">
        <f t="shared" si="3"/>
        <v>1.5518400000000001</v>
      </c>
      <c r="J38" s="69">
        <f t="shared" si="4"/>
        <v>2.3277600000000001</v>
      </c>
      <c r="K38" s="70">
        <f t="shared" si="5"/>
        <v>3.8795999999999999</v>
      </c>
      <c r="L38" s="72">
        <f t="shared" si="6"/>
        <v>1.2931999999999999</v>
      </c>
      <c r="M38" s="72">
        <f t="shared" si="7"/>
        <v>3.8795999999999999</v>
      </c>
      <c r="N38" s="72">
        <f t="shared" si="8"/>
        <v>5.1727999999999996</v>
      </c>
      <c r="O38" s="74">
        <v>90</v>
      </c>
      <c r="P38" s="41">
        <v>0</v>
      </c>
      <c r="R38" s="53"/>
    </row>
    <row r="39" spans="2:18" x14ac:dyDescent="0.15">
      <c r="B39" s="56" t="s">
        <v>176</v>
      </c>
      <c r="C39" s="56" t="s">
        <v>190</v>
      </c>
      <c r="D39" s="51">
        <v>4.5</v>
      </c>
      <c r="E39" s="51">
        <v>1.83</v>
      </c>
      <c r="F39" s="51">
        <v>2</v>
      </c>
      <c r="G39" s="51">
        <f t="shared" ref="G39:G57" si="9">D39*E39*F39</f>
        <v>16.47</v>
      </c>
      <c r="H39" s="52">
        <f t="shared" ref="H39:H57" si="10">MIN((D39*E39),(D39*F39),(F39*E39))</f>
        <v>3.66</v>
      </c>
      <c r="I39" s="69">
        <f t="shared" ref="I39:I57" si="11">K39*0.4</f>
        <v>1.3176000000000001</v>
      </c>
      <c r="J39" s="69">
        <f t="shared" ref="J39:J57" si="12">K39*0.6</f>
        <v>1.9763999999999999</v>
      </c>
      <c r="K39" s="70">
        <f t="shared" ref="K39:K57" si="13">$K$5*G39</f>
        <v>3.294</v>
      </c>
      <c r="L39" s="72">
        <f t="shared" si="6"/>
        <v>1.0979999999999999</v>
      </c>
      <c r="M39" s="72">
        <f t="shared" si="7"/>
        <v>3.2939999999999996</v>
      </c>
      <c r="N39" s="72">
        <f t="shared" si="8"/>
        <v>4.3919999999999995</v>
      </c>
      <c r="O39" s="74">
        <v>45</v>
      </c>
      <c r="P39" s="41">
        <v>0</v>
      </c>
      <c r="R39" s="53"/>
    </row>
    <row r="40" spans="2:18" x14ac:dyDescent="0.15">
      <c r="B40" s="15" t="s">
        <v>41</v>
      </c>
      <c r="C40" s="50" t="s">
        <v>153</v>
      </c>
      <c r="D40" s="51">
        <v>6</v>
      </c>
      <c r="E40" s="51">
        <v>3.25</v>
      </c>
      <c r="F40" s="51">
        <v>2.5</v>
      </c>
      <c r="G40" s="51">
        <f t="shared" si="9"/>
        <v>48.75</v>
      </c>
      <c r="H40" s="52">
        <f t="shared" si="10"/>
        <v>8.125</v>
      </c>
      <c r="I40" s="69">
        <f t="shared" si="11"/>
        <v>3.9000000000000004</v>
      </c>
      <c r="J40" s="69">
        <f t="shared" si="12"/>
        <v>5.85</v>
      </c>
      <c r="K40" s="70">
        <f t="shared" si="13"/>
        <v>9.75</v>
      </c>
      <c r="L40" s="72">
        <f t="shared" si="6"/>
        <v>3.25</v>
      </c>
      <c r="M40" s="72">
        <f t="shared" si="7"/>
        <v>9.75</v>
      </c>
      <c r="N40" s="72">
        <f t="shared" si="8"/>
        <v>13</v>
      </c>
      <c r="O40" s="74">
        <v>10</v>
      </c>
      <c r="P40" s="41">
        <v>0</v>
      </c>
      <c r="R40" s="53"/>
    </row>
    <row r="41" spans="2:18" x14ac:dyDescent="0.15">
      <c r="B41" s="15" t="s">
        <v>41</v>
      </c>
      <c r="C41" s="50" t="s">
        <v>154</v>
      </c>
      <c r="D41" s="51">
        <v>3</v>
      </c>
      <c r="E41" s="51">
        <v>3</v>
      </c>
      <c r="F41" s="51">
        <v>2.33</v>
      </c>
      <c r="G41" s="51">
        <f t="shared" si="9"/>
        <v>20.97</v>
      </c>
      <c r="H41" s="52">
        <f t="shared" si="10"/>
        <v>6.99</v>
      </c>
      <c r="I41" s="69">
        <f t="shared" si="11"/>
        <v>1.6776</v>
      </c>
      <c r="J41" s="69">
        <f t="shared" si="12"/>
        <v>2.5164</v>
      </c>
      <c r="K41" s="70">
        <f t="shared" si="13"/>
        <v>4.194</v>
      </c>
      <c r="L41" s="72">
        <f t="shared" si="6"/>
        <v>1.3979999999999999</v>
      </c>
      <c r="M41" s="72">
        <f t="shared" si="7"/>
        <v>4.194</v>
      </c>
      <c r="N41" s="72">
        <f t="shared" si="8"/>
        <v>5.5919999999999996</v>
      </c>
      <c r="O41" s="74">
        <v>5</v>
      </c>
      <c r="P41" s="41">
        <v>0</v>
      </c>
      <c r="R41" s="53"/>
    </row>
    <row r="42" spans="2:18" x14ac:dyDescent="0.15">
      <c r="B42" s="15" t="s">
        <v>41</v>
      </c>
      <c r="C42" s="15" t="s">
        <v>48</v>
      </c>
      <c r="D42" s="51">
        <v>3</v>
      </c>
      <c r="E42" s="51">
        <v>3</v>
      </c>
      <c r="F42" s="51">
        <v>2.33</v>
      </c>
      <c r="G42" s="51">
        <f t="shared" si="9"/>
        <v>20.97</v>
      </c>
      <c r="H42" s="52">
        <f t="shared" si="10"/>
        <v>6.99</v>
      </c>
      <c r="I42" s="69">
        <f t="shared" si="11"/>
        <v>1.6776</v>
      </c>
      <c r="J42" s="69">
        <f t="shared" si="12"/>
        <v>2.5164</v>
      </c>
      <c r="K42" s="70">
        <f t="shared" si="13"/>
        <v>4.194</v>
      </c>
      <c r="L42" s="72">
        <f t="shared" si="6"/>
        <v>1.3979999999999999</v>
      </c>
      <c r="M42" s="72">
        <f t="shared" si="7"/>
        <v>4.194</v>
      </c>
      <c r="N42" s="72">
        <f t="shared" si="8"/>
        <v>5.5919999999999996</v>
      </c>
      <c r="O42" s="74">
        <v>5</v>
      </c>
      <c r="P42" s="41">
        <v>0</v>
      </c>
      <c r="R42" s="53"/>
    </row>
    <row r="43" spans="2:18" x14ac:dyDescent="0.15">
      <c r="B43" s="15" t="s">
        <v>41</v>
      </c>
      <c r="C43" s="50" t="s">
        <v>155</v>
      </c>
      <c r="D43" s="51">
        <v>2</v>
      </c>
      <c r="E43" s="51">
        <v>3</v>
      </c>
      <c r="F43" s="51">
        <v>2.33</v>
      </c>
      <c r="G43" s="51">
        <f t="shared" si="9"/>
        <v>13.98</v>
      </c>
      <c r="H43" s="52">
        <f t="shared" si="10"/>
        <v>4.66</v>
      </c>
      <c r="I43" s="69">
        <f t="shared" si="11"/>
        <v>1.1184000000000001</v>
      </c>
      <c r="J43" s="69">
        <f t="shared" si="12"/>
        <v>1.6776000000000002</v>
      </c>
      <c r="K43" s="70">
        <f t="shared" si="13"/>
        <v>2.7960000000000003</v>
      </c>
      <c r="L43" s="72">
        <f t="shared" si="6"/>
        <v>0.93200000000000005</v>
      </c>
      <c r="M43" s="72">
        <f t="shared" si="7"/>
        <v>2.7960000000000003</v>
      </c>
      <c r="N43" s="72">
        <f t="shared" si="8"/>
        <v>3.7280000000000002</v>
      </c>
      <c r="O43" s="74">
        <v>17</v>
      </c>
      <c r="P43" s="41">
        <v>0</v>
      </c>
      <c r="R43" s="53"/>
    </row>
    <row r="44" spans="2:18" x14ac:dyDescent="0.15">
      <c r="B44" s="15" t="s">
        <v>41</v>
      </c>
      <c r="C44" s="50" t="s">
        <v>156</v>
      </c>
      <c r="D44" s="51">
        <v>2</v>
      </c>
      <c r="E44" s="51">
        <v>3</v>
      </c>
      <c r="F44" s="51">
        <v>2.33</v>
      </c>
      <c r="G44" s="51">
        <f t="shared" si="9"/>
        <v>13.98</v>
      </c>
      <c r="H44" s="52">
        <f t="shared" si="10"/>
        <v>4.66</v>
      </c>
      <c r="I44" s="69">
        <f t="shared" si="11"/>
        <v>1.1184000000000001</v>
      </c>
      <c r="J44" s="69">
        <f t="shared" si="12"/>
        <v>1.6776000000000002</v>
      </c>
      <c r="K44" s="70">
        <f t="shared" si="13"/>
        <v>2.7960000000000003</v>
      </c>
      <c r="L44" s="72">
        <f t="shared" si="6"/>
        <v>0.93200000000000005</v>
      </c>
      <c r="M44" s="72">
        <f t="shared" si="7"/>
        <v>2.7960000000000003</v>
      </c>
      <c r="N44" s="72">
        <f t="shared" si="8"/>
        <v>3.7280000000000002</v>
      </c>
      <c r="O44" s="74">
        <v>12</v>
      </c>
      <c r="P44" s="41">
        <v>0</v>
      </c>
      <c r="R44" s="53"/>
    </row>
    <row r="45" spans="2:18" x14ac:dyDescent="0.15">
      <c r="B45" s="15" t="s">
        <v>41</v>
      </c>
      <c r="C45" s="15" t="s">
        <v>52</v>
      </c>
      <c r="D45" s="51">
        <v>6</v>
      </c>
      <c r="E45" s="51">
        <v>3.25</v>
      </c>
      <c r="F45" s="51">
        <v>2.5</v>
      </c>
      <c r="G45" s="51">
        <f t="shared" si="9"/>
        <v>48.75</v>
      </c>
      <c r="H45" s="52">
        <f t="shared" si="10"/>
        <v>8.125</v>
      </c>
      <c r="I45" s="69">
        <f t="shared" si="11"/>
        <v>3.9000000000000004</v>
      </c>
      <c r="J45" s="69">
        <f t="shared" si="12"/>
        <v>5.85</v>
      </c>
      <c r="K45" s="70">
        <f t="shared" si="13"/>
        <v>9.75</v>
      </c>
      <c r="L45" s="72">
        <f t="shared" si="6"/>
        <v>3.25</v>
      </c>
      <c r="M45" s="72">
        <f t="shared" si="7"/>
        <v>9.75</v>
      </c>
      <c r="N45" s="72">
        <f t="shared" si="8"/>
        <v>13</v>
      </c>
      <c r="O45" s="74">
        <v>7</v>
      </c>
      <c r="P45" s="41">
        <v>0</v>
      </c>
      <c r="R45" s="53"/>
    </row>
    <row r="46" spans="2:18" x14ac:dyDescent="0.15">
      <c r="B46" s="15" t="s">
        <v>41</v>
      </c>
      <c r="C46" s="15" t="s">
        <v>50</v>
      </c>
      <c r="D46" s="51">
        <v>3</v>
      </c>
      <c r="E46" s="51">
        <v>3</v>
      </c>
      <c r="F46" s="51">
        <v>2.33</v>
      </c>
      <c r="G46" s="51">
        <f t="shared" si="9"/>
        <v>20.97</v>
      </c>
      <c r="H46" s="52">
        <f t="shared" si="10"/>
        <v>6.99</v>
      </c>
      <c r="I46" s="69">
        <f t="shared" si="11"/>
        <v>1.6776</v>
      </c>
      <c r="J46" s="69">
        <f t="shared" si="12"/>
        <v>2.5164</v>
      </c>
      <c r="K46" s="70">
        <f t="shared" si="13"/>
        <v>4.194</v>
      </c>
      <c r="L46" s="72">
        <f t="shared" si="6"/>
        <v>1.3979999999999999</v>
      </c>
      <c r="M46" s="72">
        <f t="shared" si="7"/>
        <v>4.194</v>
      </c>
      <c r="N46" s="72">
        <f t="shared" si="8"/>
        <v>5.5919999999999996</v>
      </c>
      <c r="O46" s="74">
        <v>5</v>
      </c>
      <c r="P46" s="41">
        <v>0</v>
      </c>
      <c r="R46" s="53"/>
    </row>
    <row r="47" spans="2:18" x14ac:dyDescent="0.15">
      <c r="B47" s="15" t="s">
        <v>41</v>
      </c>
      <c r="C47" s="15" t="s">
        <v>51</v>
      </c>
      <c r="D47" s="51">
        <f>3/4</f>
        <v>0.75</v>
      </c>
      <c r="E47" s="51">
        <f>3/4</f>
        <v>0.75</v>
      </c>
      <c r="F47" s="51">
        <f>2.33/4</f>
        <v>0.58250000000000002</v>
      </c>
      <c r="G47" s="51">
        <f t="shared" si="9"/>
        <v>0.32765624999999998</v>
      </c>
      <c r="H47" s="52">
        <f t="shared" si="10"/>
        <v>0.43687500000000001</v>
      </c>
      <c r="I47" s="69">
        <f t="shared" si="11"/>
        <v>2.62125E-2</v>
      </c>
      <c r="J47" s="69">
        <f t="shared" si="12"/>
        <v>3.931875E-2</v>
      </c>
      <c r="K47" s="70">
        <f t="shared" si="13"/>
        <v>6.5531249999999999E-2</v>
      </c>
      <c r="L47" s="72">
        <f t="shared" si="6"/>
        <v>2.1843749999999999E-2</v>
      </c>
      <c r="M47" s="72">
        <f t="shared" si="7"/>
        <v>6.5531249999999999E-2</v>
      </c>
      <c r="N47" s="72">
        <f t="shared" si="8"/>
        <v>8.7374999999999994E-2</v>
      </c>
      <c r="O47" s="74">
        <v>2</v>
      </c>
      <c r="P47" s="41">
        <v>0</v>
      </c>
      <c r="R47" s="53"/>
    </row>
    <row r="48" spans="2:18" x14ac:dyDescent="0.15">
      <c r="B48" s="15" t="s">
        <v>41</v>
      </c>
      <c r="C48" s="50" t="s">
        <v>157</v>
      </c>
      <c r="D48" s="51">
        <v>3</v>
      </c>
      <c r="E48" s="51">
        <v>3</v>
      </c>
      <c r="F48" s="51">
        <v>2.33</v>
      </c>
      <c r="G48" s="51">
        <f t="shared" si="9"/>
        <v>20.97</v>
      </c>
      <c r="H48" s="52">
        <f t="shared" si="10"/>
        <v>6.99</v>
      </c>
      <c r="I48" s="69">
        <f t="shared" si="11"/>
        <v>1.6776</v>
      </c>
      <c r="J48" s="69">
        <f t="shared" si="12"/>
        <v>2.5164</v>
      </c>
      <c r="K48" s="70">
        <f t="shared" si="13"/>
        <v>4.194</v>
      </c>
      <c r="L48" s="72">
        <f t="shared" si="6"/>
        <v>1.3979999999999999</v>
      </c>
      <c r="M48" s="72">
        <f t="shared" si="7"/>
        <v>4.194</v>
      </c>
      <c r="N48" s="72">
        <f t="shared" si="8"/>
        <v>5.5919999999999996</v>
      </c>
      <c r="O48" s="74">
        <v>20</v>
      </c>
      <c r="P48" s="41">
        <v>0</v>
      </c>
      <c r="R48" s="53"/>
    </row>
    <row r="49" spans="2:18" x14ac:dyDescent="0.15">
      <c r="B49" s="15" t="s">
        <v>41</v>
      </c>
      <c r="C49" s="15" t="s">
        <v>49</v>
      </c>
      <c r="D49" s="51">
        <v>3</v>
      </c>
      <c r="E49" s="51">
        <v>3</v>
      </c>
      <c r="F49" s="51">
        <v>2.33</v>
      </c>
      <c r="G49" s="51">
        <f t="shared" si="9"/>
        <v>20.97</v>
      </c>
      <c r="H49" s="52">
        <f t="shared" si="10"/>
        <v>6.99</v>
      </c>
      <c r="I49" s="69">
        <f t="shared" si="11"/>
        <v>1.6776</v>
      </c>
      <c r="J49" s="69">
        <f t="shared" si="12"/>
        <v>2.5164</v>
      </c>
      <c r="K49" s="70">
        <f t="shared" si="13"/>
        <v>4.194</v>
      </c>
      <c r="L49" s="72">
        <f t="shared" si="6"/>
        <v>1.3979999999999999</v>
      </c>
      <c r="M49" s="72">
        <f t="shared" si="7"/>
        <v>4.194</v>
      </c>
      <c r="N49" s="72">
        <f t="shared" si="8"/>
        <v>5.5919999999999996</v>
      </c>
      <c r="O49" s="74">
        <v>5</v>
      </c>
      <c r="P49" s="41">
        <v>0</v>
      </c>
      <c r="R49" s="53"/>
    </row>
    <row r="50" spans="2:18" x14ac:dyDescent="0.15">
      <c r="B50" s="58" t="s">
        <v>46</v>
      </c>
      <c r="C50" s="58" t="s">
        <v>158</v>
      </c>
      <c r="D50" s="51">
        <v>4</v>
      </c>
      <c r="E50" s="51">
        <v>2</v>
      </c>
      <c r="F50" s="51">
        <v>2</v>
      </c>
      <c r="G50" s="51">
        <f t="shared" si="9"/>
        <v>16</v>
      </c>
      <c r="H50" s="52">
        <f t="shared" si="10"/>
        <v>4</v>
      </c>
      <c r="I50" s="69">
        <f t="shared" si="11"/>
        <v>1.2800000000000002</v>
      </c>
      <c r="J50" s="69">
        <f t="shared" si="12"/>
        <v>1.92</v>
      </c>
      <c r="K50" s="70">
        <f t="shared" si="13"/>
        <v>3.2</v>
      </c>
      <c r="L50" s="72">
        <f t="shared" si="6"/>
        <v>1.0666666666666667</v>
      </c>
      <c r="M50" s="72">
        <f t="shared" si="7"/>
        <v>3.2</v>
      </c>
      <c r="N50" s="72">
        <f t="shared" si="8"/>
        <v>4.2666666666666666</v>
      </c>
      <c r="O50" s="74">
        <v>10</v>
      </c>
      <c r="P50" s="41">
        <v>0</v>
      </c>
      <c r="R50" s="53"/>
    </row>
    <row r="51" spans="2:18" x14ac:dyDescent="0.15">
      <c r="B51" s="58" t="s">
        <v>46</v>
      </c>
      <c r="C51" s="58" t="s">
        <v>159</v>
      </c>
      <c r="D51" s="51">
        <v>6</v>
      </c>
      <c r="E51" s="51">
        <v>5</v>
      </c>
      <c r="F51" s="51">
        <v>2</v>
      </c>
      <c r="G51" s="51">
        <f t="shared" si="9"/>
        <v>60</v>
      </c>
      <c r="H51" s="52">
        <f t="shared" si="10"/>
        <v>10</v>
      </c>
      <c r="I51" s="69">
        <f t="shared" si="11"/>
        <v>4.8000000000000007</v>
      </c>
      <c r="J51" s="69">
        <f t="shared" si="12"/>
        <v>7.1999999999999993</v>
      </c>
      <c r="K51" s="70">
        <f t="shared" si="13"/>
        <v>12</v>
      </c>
      <c r="L51" s="72">
        <f t="shared" si="6"/>
        <v>4</v>
      </c>
      <c r="M51" s="72">
        <f t="shared" si="7"/>
        <v>12</v>
      </c>
      <c r="N51" s="72">
        <f t="shared" si="8"/>
        <v>16</v>
      </c>
      <c r="O51" s="74">
        <v>135</v>
      </c>
      <c r="P51" s="41">
        <v>0</v>
      </c>
      <c r="R51" s="53"/>
    </row>
    <row r="52" spans="2:18" x14ac:dyDescent="0.15">
      <c r="B52" s="58" t="s">
        <v>46</v>
      </c>
      <c r="C52" s="58" t="s">
        <v>160</v>
      </c>
      <c r="D52" s="51">
        <v>6</v>
      </c>
      <c r="E52" s="51">
        <v>5</v>
      </c>
      <c r="F52" s="51">
        <v>1.5</v>
      </c>
      <c r="G52" s="51">
        <f t="shared" si="9"/>
        <v>45</v>
      </c>
      <c r="H52" s="52">
        <f t="shared" si="10"/>
        <v>7.5</v>
      </c>
      <c r="I52" s="69">
        <f t="shared" si="11"/>
        <v>3.6</v>
      </c>
      <c r="J52" s="69">
        <f t="shared" si="12"/>
        <v>5.3999999999999995</v>
      </c>
      <c r="K52" s="70">
        <f t="shared" si="13"/>
        <v>9</v>
      </c>
      <c r="L52" s="72">
        <f t="shared" si="6"/>
        <v>3</v>
      </c>
      <c r="M52" s="72">
        <f t="shared" si="7"/>
        <v>9</v>
      </c>
      <c r="N52" s="72">
        <f t="shared" si="8"/>
        <v>12</v>
      </c>
      <c r="O52" s="74">
        <v>90</v>
      </c>
      <c r="P52" s="41">
        <v>0</v>
      </c>
      <c r="R52" s="53"/>
    </row>
    <row r="53" spans="2:18" x14ac:dyDescent="0.15">
      <c r="B53" s="58" t="s">
        <v>46</v>
      </c>
      <c r="C53" s="58" t="s">
        <v>161</v>
      </c>
      <c r="D53" s="51">
        <v>6</v>
      </c>
      <c r="E53" s="51">
        <v>5</v>
      </c>
      <c r="F53" s="51">
        <v>1</v>
      </c>
      <c r="G53" s="51">
        <f t="shared" si="9"/>
        <v>30</v>
      </c>
      <c r="H53" s="52">
        <f t="shared" si="10"/>
        <v>5</v>
      </c>
      <c r="I53" s="69">
        <f t="shared" si="11"/>
        <v>2.4000000000000004</v>
      </c>
      <c r="J53" s="69">
        <f t="shared" si="12"/>
        <v>3.5999999999999996</v>
      </c>
      <c r="K53" s="70">
        <f t="shared" si="13"/>
        <v>6</v>
      </c>
      <c r="L53" s="72">
        <f t="shared" si="6"/>
        <v>2</v>
      </c>
      <c r="M53" s="72">
        <f t="shared" si="7"/>
        <v>6</v>
      </c>
      <c r="N53" s="72">
        <f t="shared" si="8"/>
        <v>8</v>
      </c>
      <c r="O53" s="74">
        <v>45</v>
      </c>
      <c r="P53" s="41">
        <v>0</v>
      </c>
      <c r="R53" s="53"/>
    </row>
    <row r="54" spans="2:18" x14ac:dyDescent="0.15">
      <c r="B54" s="58" t="s">
        <v>46</v>
      </c>
      <c r="C54" s="58" t="s">
        <v>162</v>
      </c>
      <c r="D54" s="51">
        <v>6</v>
      </c>
      <c r="E54" s="51">
        <v>5</v>
      </c>
      <c r="F54" s="51">
        <v>0.5</v>
      </c>
      <c r="G54" s="51">
        <f t="shared" si="9"/>
        <v>15</v>
      </c>
      <c r="H54" s="52">
        <f t="shared" si="10"/>
        <v>2.5</v>
      </c>
      <c r="I54" s="69">
        <f t="shared" si="11"/>
        <v>1.2000000000000002</v>
      </c>
      <c r="J54" s="69">
        <f t="shared" si="12"/>
        <v>1.7999999999999998</v>
      </c>
      <c r="K54" s="70">
        <f t="shared" si="13"/>
        <v>3</v>
      </c>
      <c r="L54" s="72">
        <f t="shared" si="6"/>
        <v>1</v>
      </c>
      <c r="M54" s="72">
        <f t="shared" si="7"/>
        <v>3</v>
      </c>
      <c r="N54" s="72">
        <f t="shared" si="8"/>
        <v>4</v>
      </c>
      <c r="O54" s="74">
        <v>30</v>
      </c>
      <c r="P54" s="41">
        <v>0</v>
      </c>
      <c r="R54" s="53"/>
    </row>
    <row r="55" spans="2:18" x14ac:dyDescent="0.15">
      <c r="B55" s="58" t="s">
        <v>46</v>
      </c>
      <c r="C55" s="58" t="s">
        <v>54</v>
      </c>
      <c r="D55" s="51">
        <v>6</v>
      </c>
      <c r="E55" s="51">
        <v>5</v>
      </c>
      <c r="F55" s="51">
        <v>0.5</v>
      </c>
      <c r="G55" s="51">
        <f t="shared" si="9"/>
        <v>15</v>
      </c>
      <c r="H55" s="52">
        <f t="shared" si="10"/>
        <v>2.5</v>
      </c>
      <c r="I55" s="69">
        <f t="shared" si="11"/>
        <v>1.2000000000000002</v>
      </c>
      <c r="J55" s="69">
        <f t="shared" si="12"/>
        <v>1.7999999999999998</v>
      </c>
      <c r="K55" s="70">
        <f t="shared" si="13"/>
        <v>3</v>
      </c>
      <c r="L55" s="72">
        <f t="shared" si="6"/>
        <v>1</v>
      </c>
      <c r="M55" s="72">
        <f t="shared" si="7"/>
        <v>3</v>
      </c>
      <c r="N55" s="72">
        <f t="shared" si="8"/>
        <v>4</v>
      </c>
      <c r="O55" s="74">
        <v>7</v>
      </c>
      <c r="P55" s="41">
        <v>0</v>
      </c>
      <c r="R55" s="53"/>
    </row>
    <row r="56" spans="2:18" x14ac:dyDescent="0.15">
      <c r="B56" s="58" t="s">
        <v>46</v>
      </c>
      <c r="C56" s="58" t="s">
        <v>163</v>
      </c>
      <c r="D56" s="51">
        <v>4</v>
      </c>
      <c r="E56" s="51">
        <v>2</v>
      </c>
      <c r="F56" s="51">
        <v>2</v>
      </c>
      <c r="G56" s="51">
        <f t="shared" si="9"/>
        <v>16</v>
      </c>
      <c r="H56" s="52">
        <f t="shared" si="10"/>
        <v>4</v>
      </c>
      <c r="I56" s="69">
        <f t="shared" si="11"/>
        <v>1.2800000000000002</v>
      </c>
      <c r="J56" s="69">
        <f t="shared" si="12"/>
        <v>1.92</v>
      </c>
      <c r="K56" s="70">
        <f t="shared" si="13"/>
        <v>3.2</v>
      </c>
      <c r="L56" s="72">
        <f t="shared" si="6"/>
        <v>1.0666666666666667</v>
      </c>
      <c r="M56" s="72">
        <f t="shared" si="7"/>
        <v>3.2</v>
      </c>
      <c r="N56" s="72">
        <f t="shared" si="8"/>
        <v>4.2666666666666666</v>
      </c>
      <c r="O56" s="74">
        <v>10</v>
      </c>
      <c r="P56" s="41">
        <v>0</v>
      </c>
      <c r="R56" s="53"/>
    </row>
    <row r="57" spans="2:18" x14ac:dyDescent="0.15">
      <c r="B57" s="58" t="s">
        <v>46</v>
      </c>
      <c r="C57" s="58" t="s">
        <v>53</v>
      </c>
      <c r="D57" s="51">
        <v>6</v>
      </c>
      <c r="E57" s="51">
        <v>5</v>
      </c>
      <c r="F57" s="51">
        <v>0.5</v>
      </c>
      <c r="G57" s="51">
        <f t="shared" si="9"/>
        <v>15</v>
      </c>
      <c r="H57" s="52">
        <f t="shared" si="10"/>
        <v>2.5</v>
      </c>
      <c r="I57" s="69">
        <f t="shared" si="11"/>
        <v>1.2000000000000002</v>
      </c>
      <c r="J57" s="69">
        <f t="shared" si="12"/>
        <v>1.7999999999999998</v>
      </c>
      <c r="K57" s="70">
        <f t="shared" si="13"/>
        <v>3</v>
      </c>
      <c r="L57" s="72">
        <f t="shared" si="6"/>
        <v>1</v>
      </c>
      <c r="M57" s="72">
        <f t="shared" si="7"/>
        <v>3</v>
      </c>
      <c r="N57" s="72">
        <f t="shared" si="8"/>
        <v>4</v>
      </c>
      <c r="O57" s="74">
        <v>15</v>
      </c>
      <c r="P57" s="41">
        <v>0</v>
      </c>
      <c r="R57" s="53"/>
    </row>
    <row r="58" spans="2:18" x14ac:dyDescent="0.15">
      <c r="R58" s="59"/>
    </row>
  </sheetData>
  <sheetProtection sheet="1" objects="1" scenarios="1"/>
  <autoFilter ref="B6:P57"/>
  <mergeCells count="2">
    <mergeCell ref="I4:K4"/>
    <mergeCell ref="L4:N4"/>
  </mergeCells>
  <phoneticPr fontId="0" type="noConversion"/>
  <pageMargins left="0.75" right="0.75" top="1" bottom="1" header="0.5" footer="0.5"/>
  <pageSetup scale="58"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B3:R52"/>
  <sheetViews>
    <sheetView workbookViewId="0">
      <pane xSplit="4" ySplit="4" topLeftCell="E5" activePane="bottomRight" state="frozen"/>
      <selection activeCell="Y88" sqref="Y88"/>
      <selection pane="topRight" activeCell="Y88" sqref="Y88"/>
      <selection pane="bottomLeft" activeCell="Y88" sqref="Y88"/>
      <selection pane="bottomRight" activeCell="Y88" sqref="Y88"/>
    </sheetView>
  </sheetViews>
  <sheetFormatPr baseColWidth="10" defaultColWidth="8.83203125" defaultRowHeight="13" x14ac:dyDescent="0.15"/>
  <cols>
    <col min="1" max="1" customWidth="true" width="3.6640625" collapsed="true"/>
    <col min="2" max="2" bestFit="true" customWidth="true" width="31.5" collapsed="true"/>
    <col min="3" max="18" customWidth="true" width="11.6640625" collapsed="true"/>
  </cols>
  <sheetData>
    <row r="3" spans="2:18" x14ac:dyDescent="0.15">
      <c r="B3">
        <v>1</v>
      </c>
      <c r="C3">
        <f t="shared" ref="C3:R3" si="0">B3+1</f>
        <v>2</v>
      </c>
      <c r="D3">
        <f t="shared" si="0"/>
        <v>3</v>
      </c>
      <c r="E3">
        <f t="shared" si="0"/>
        <v>4</v>
      </c>
      <c r="F3">
        <f t="shared" si="0"/>
        <v>5</v>
      </c>
      <c r="G3">
        <f t="shared" si="0"/>
        <v>6</v>
      </c>
      <c r="H3">
        <f t="shared" si="0"/>
        <v>7</v>
      </c>
      <c r="I3">
        <f t="shared" si="0"/>
        <v>8</v>
      </c>
      <c r="J3">
        <f t="shared" si="0"/>
        <v>9</v>
      </c>
      <c r="K3">
        <f t="shared" si="0"/>
        <v>10</v>
      </c>
      <c r="L3">
        <f t="shared" si="0"/>
        <v>11</v>
      </c>
      <c r="M3">
        <f t="shared" si="0"/>
        <v>12</v>
      </c>
      <c r="N3">
        <f t="shared" si="0"/>
        <v>13</v>
      </c>
      <c r="O3">
        <f t="shared" si="0"/>
        <v>14</v>
      </c>
      <c r="P3">
        <f t="shared" si="0"/>
        <v>15</v>
      </c>
      <c r="Q3">
        <f t="shared" si="0"/>
        <v>16</v>
      </c>
      <c r="R3">
        <f t="shared" si="0"/>
        <v>17</v>
      </c>
    </row>
    <row r="4" spans="2:18" ht="39" x14ac:dyDescent="0.15">
      <c r="B4" s="4" t="s">
        <v>247</v>
      </c>
      <c r="C4" s="4" t="s">
        <v>249</v>
      </c>
      <c r="D4" s="22" t="s">
        <v>248</v>
      </c>
      <c r="E4" s="8" t="s">
        <v>250</v>
      </c>
      <c r="F4" s="8" t="s">
        <v>251</v>
      </c>
      <c r="G4" s="8" t="s">
        <v>252</v>
      </c>
      <c r="H4" s="8" t="s">
        <v>253</v>
      </c>
      <c r="I4" s="8" t="s">
        <v>376</v>
      </c>
      <c r="J4" s="8" t="s">
        <v>375</v>
      </c>
      <c r="K4" s="8" t="s">
        <v>254</v>
      </c>
      <c r="L4" s="22" t="s">
        <v>366</v>
      </c>
      <c r="M4" s="22" t="s">
        <v>367</v>
      </c>
      <c r="N4" s="22" t="s">
        <v>368</v>
      </c>
      <c r="O4" s="22" t="s">
        <v>369</v>
      </c>
      <c r="P4" s="22" t="s">
        <v>373</v>
      </c>
      <c r="Q4" s="22" t="s">
        <v>374</v>
      </c>
      <c r="R4" s="22" t="s">
        <v>370</v>
      </c>
    </row>
    <row r="5" spans="2:18" x14ac:dyDescent="0.15">
      <c r="B5" t="s">
        <v>14</v>
      </c>
      <c r="C5" s="2">
        <v>6.5</v>
      </c>
      <c r="D5" s="224">
        <f t="shared" ref="D5:D52" si="1">(C5/6)</f>
        <v>1.0833333333333333</v>
      </c>
      <c r="E5" s="223">
        <v>6.5</v>
      </c>
      <c r="F5" s="223">
        <v>6.5</v>
      </c>
      <c r="G5" s="223">
        <v>6.5</v>
      </c>
      <c r="H5" s="223">
        <v>6.75</v>
      </c>
      <c r="I5" s="223">
        <v>6.5</v>
      </c>
      <c r="J5" s="223">
        <v>6.5</v>
      </c>
      <c r="K5" s="223">
        <v>6.5</v>
      </c>
      <c r="L5" s="230">
        <f t="shared" ref="L5:R11" si="2">E5/6</f>
        <v>1.0833333333333333</v>
      </c>
      <c r="M5" s="230">
        <f t="shared" si="2"/>
        <v>1.0833333333333333</v>
      </c>
      <c r="N5" s="230">
        <f t="shared" si="2"/>
        <v>1.0833333333333333</v>
      </c>
      <c r="O5" s="230">
        <f t="shared" si="2"/>
        <v>1.125</v>
      </c>
      <c r="P5" s="230">
        <f t="shared" si="2"/>
        <v>1.0833333333333333</v>
      </c>
      <c r="Q5" s="230">
        <f t="shared" si="2"/>
        <v>1.0833333333333333</v>
      </c>
      <c r="R5" s="230">
        <f t="shared" si="2"/>
        <v>1.0833333333333333</v>
      </c>
    </row>
    <row r="6" spans="2:18" x14ac:dyDescent="0.15">
      <c r="B6" t="s">
        <v>402</v>
      </c>
      <c r="C6" s="2">
        <v>7.5</v>
      </c>
      <c r="D6" s="224">
        <f t="shared" si="1"/>
        <v>1.25</v>
      </c>
      <c r="E6" s="223">
        <v>7.5</v>
      </c>
      <c r="F6" s="223">
        <v>7.5</v>
      </c>
      <c r="G6" s="223">
        <v>7.5</v>
      </c>
      <c r="H6" s="223">
        <v>7.5</v>
      </c>
      <c r="I6" s="223">
        <v>5.5</v>
      </c>
      <c r="J6" s="223">
        <v>7.5</v>
      </c>
      <c r="K6" s="223">
        <v>7.5</v>
      </c>
      <c r="L6" s="230">
        <f t="shared" ref="L6:R7" si="3">E6/6</f>
        <v>1.25</v>
      </c>
      <c r="M6" s="230">
        <f t="shared" si="3"/>
        <v>1.25</v>
      </c>
      <c r="N6" s="230">
        <f t="shared" si="3"/>
        <v>1.25</v>
      </c>
      <c r="O6" s="230">
        <f t="shared" si="3"/>
        <v>1.25</v>
      </c>
      <c r="P6" s="230">
        <f t="shared" si="3"/>
        <v>0.91666666666666663</v>
      </c>
      <c r="Q6" s="230">
        <f t="shared" si="3"/>
        <v>1.25</v>
      </c>
      <c r="R6" s="230">
        <f t="shared" si="3"/>
        <v>1.25</v>
      </c>
    </row>
    <row r="7" spans="2:18" x14ac:dyDescent="0.15">
      <c r="B7" t="s">
        <v>401</v>
      </c>
      <c r="C7" s="2">
        <v>6.5</v>
      </c>
      <c r="D7" s="224">
        <f t="shared" si="1"/>
        <v>1.0833333333333333</v>
      </c>
      <c r="E7" s="223">
        <v>6.5</v>
      </c>
      <c r="F7" s="223">
        <v>6.5</v>
      </c>
      <c r="G7" s="223">
        <v>6.5</v>
      </c>
      <c r="H7" s="223">
        <v>6.5</v>
      </c>
      <c r="I7" s="223">
        <v>4.5</v>
      </c>
      <c r="J7" s="223">
        <v>6.5</v>
      </c>
      <c r="K7" s="223">
        <v>6.5</v>
      </c>
      <c r="L7" s="230">
        <f t="shared" si="3"/>
        <v>1.0833333333333333</v>
      </c>
      <c r="M7" s="230">
        <f t="shared" si="3"/>
        <v>1.0833333333333333</v>
      </c>
      <c r="N7" s="230">
        <f t="shared" si="3"/>
        <v>1.0833333333333333</v>
      </c>
      <c r="O7" s="230">
        <f t="shared" si="3"/>
        <v>1.0833333333333333</v>
      </c>
      <c r="P7" s="230">
        <f t="shared" si="3"/>
        <v>0.75</v>
      </c>
      <c r="Q7" s="230">
        <f t="shared" si="3"/>
        <v>1.0833333333333333</v>
      </c>
      <c r="R7" s="230">
        <f t="shared" si="3"/>
        <v>1.0833333333333333</v>
      </c>
    </row>
    <row r="8" spans="2:18" x14ac:dyDescent="0.15">
      <c r="B8" t="s">
        <v>4</v>
      </c>
      <c r="C8" s="2">
        <v>6</v>
      </c>
      <c r="D8" s="224">
        <f t="shared" si="1"/>
        <v>1</v>
      </c>
      <c r="E8" s="223">
        <v>3.75</v>
      </c>
      <c r="F8" s="223">
        <v>6</v>
      </c>
      <c r="G8" s="223">
        <v>6</v>
      </c>
      <c r="H8" s="223">
        <v>6.25</v>
      </c>
      <c r="I8" s="223">
        <v>4</v>
      </c>
      <c r="J8" s="223">
        <v>6</v>
      </c>
      <c r="K8" s="223">
        <v>6</v>
      </c>
      <c r="L8" s="230">
        <f t="shared" si="2"/>
        <v>0.625</v>
      </c>
      <c r="M8" s="230">
        <f t="shared" si="2"/>
        <v>1</v>
      </c>
      <c r="N8" s="230">
        <f t="shared" si="2"/>
        <v>1</v>
      </c>
      <c r="O8" s="230">
        <f t="shared" si="2"/>
        <v>1.0416666666666667</v>
      </c>
      <c r="P8" s="230">
        <f t="shared" si="2"/>
        <v>0.66666666666666663</v>
      </c>
      <c r="Q8" s="230">
        <f t="shared" si="2"/>
        <v>1</v>
      </c>
      <c r="R8" s="230">
        <f t="shared" si="2"/>
        <v>1</v>
      </c>
    </row>
    <row r="9" spans="2:18" x14ac:dyDescent="0.15">
      <c r="B9" t="s">
        <v>23</v>
      </c>
      <c r="C9" s="2">
        <v>7.25</v>
      </c>
      <c r="D9" s="224">
        <f t="shared" si="1"/>
        <v>1.2083333333333333</v>
      </c>
      <c r="E9" s="223">
        <v>7.25</v>
      </c>
      <c r="F9" s="223">
        <v>7</v>
      </c>
      <c r="G9" s="223">
        <v>7.5</v>
      </c>
      <c r="H9" s="223">
        <v>7</v>
      </c>
      <c r="I9" s="223">
        <v>4.5</v>
      </c>
      <c r="J9" s="223">
        <v>7.25</v>
      </c>
      <c r="K9" s="223">
        <v>7.25</v>
      </c>
      <c r="L9" s="230">
        <f t="shared" si="2"/>
        <v>1.2083333333333333</v>
      </c>
      <c r="M9" s="230">
        <f t="shared" si="2"/>
        <v>1.1666666666666667</v>
      </c>
      <c r="N9" s="230">
        <f t="shared" si="2"/>
        <v>1.25</v>
      </c>
      <c r="O9" s="230">
        <f t="shared" si="2"/>
        <v>1.1666666666666667</v>
      </c>
      <c r="P9" s="230">
        <f t="shared" si="2"/>
        <v>0.75</v>
      </c>
      <c r="Q9" s="230">
        <f t="shared" si="2"/>
        <v>1.2083333333333333</v>
      </c>
      <c r="R9" s="230">
        <f t="shared" si="2"/>
        <v>1.2083333333333333</v>
      </c>
    </row>
    <row r="10" spans="2:18" x14ac:dyDescent="0.15">
      <c r="B10" t="s">
        <v>16</v>
      </c>
      <c r="C10" s="2">
        <v>7</v>
      </c>
      <c r="D10" s="224">
        <f t="shared" si="1"/>
        <v>1.1666666666666667</v>
      </c>
      <c r="E10" s="223">
        <v>7</v>
      </c>
      <c r="F10" s="223">
        <v>6.75</v>
      </c>
      <c r="G10" s="223">
        <v>7.25</v>
      </c>
      <c r="H10" s="223">
        <v>6.5</v>
      </c>
      <c r="I10" s="223">
        <v>4.5</v>
      </c>
      <c r="J10" s="223">
        <v>7</v>
      </c>
      <c r="K10" s="223">
        <v>7</v>
      </c>
      <c r="L10" s="230">
        <f t="shared" si="2"/>
        <v>1.1666666666666667</v>
      </c>
      <c r="M10" s="230">
        <f t="shared" si="2"/>
        <v>1.125</v>
      </c>
      <c r="N10" s="230">
        <f t="shared" si="2"/>
        <v>1.2083333333333333</v>
      </c>
      <c r="O10" s="230">
        <f t="shared" si="2"/>
        <v>1.0833333333333333</v>
      </c>
      <c r="P10" s="230">
        <f t="shared" si="2"/>
        <v>0.75</v>
      </c>
      <c r="Q10" s="230">
        <f t="shared" si="2"/>
        <v>1.1666666666666667</v>
      </c>
      <c r="R10" s="230">
        <f t="shared" si="2"/>
        <v>1.1666666666666667</v>
      </c>
    </row>
    <row r="11" spans="2:18" x14ac:dyDescent="0.15">
      <c r="B11" t="s">
        <v>5</v>
      </c>
      <c r="C11" s="2">
        <v>6</v>
      </c>
      <c r="D11" s="224">
        <f t="shared" si="1"/>
        <v>1</v>
      </c>
      <c r="E11" s="223">
        <v>3.75</v>
      </c>
      <c r="F11" s="223">
        <v>6</v>
      </c>
      <c r="G11" s="223">
        <v>6</v>
      </c>
      <c r="H11" s="223">
        <v>5.75</v>
      </c>
      <c r="I11" s="223">
        <v>6</v>
      </c>
      <c r="J11" s="223">
        <v>6</v>
      </c>
      <c r="K11" s="223">
        <v>6</v>
      </c>
      <c r="L11" s="230">
        <f t="shared" si="2"/>
        <v>0.625</v>
      </c>
      <c r="M11" s="230">
        <f t="shared" si="2"/>
        <v>1</v>
      </c>
      <c r="N11" s="230">
        <f t="shared" si="2"/>
        <v>1</v>
      </c>
      <c r="O11" s="230">
        <f t="shared" si="2"/>
        <v>0.95833333333333337</v>
      </c>
      <c r="P11" s="230">
        <f t="shared" si="2"/>
        <v>1</v>
      </c>
      <c r="Q11" s="230">
        <f t="shared" si="2"/>
        <v>1</v>
      </c>
      <c r="R11" s="230">
        <f t="shared" si="2"/>
        <v>1</v>
      </c>
    </row>
    <row r="12" spans="2:18" x14ac:dyDescent="0.15">
      <c r="B12" t="s">
        <v>18</v>
      </c>
      <c r="C12" s="2">
        <v>7</v>
      </c>
      <c r="D12" s="224">
        <f t="shared" si="1"/>
        <v>1.1666666666666667</v>
      </c>
      <c r="E12" s="223">
        <v>7</v>
      </c>
      <c r="F12" s="223">
        <v>7</v>
      </c>
      <c r="G12" s="223">
        <v>7</v>
      </c>
      <c r="H12" s="223">
        <v>7</v>
      </c>
      <c r="I12" s="223">
        <v>5</v>
      </c>
      <c r="J12" s="223">
        <v>7</v>
      </c>
      <c r="K12" s="223">
        <v>7</v>
      </c>
      <c r="L12" s="230">
        <f t="shared" ref="L12:L52" si="4">E12/6</f>
        <v>1.1666666666666667</v>
      </c>
      <c r="M12" s="230">
        <f t="shared" ref="M12:M52" si="5">F12/6</f>
        <v>1.1666666666666667</v>
      </c>
      <c r="N12" s="230">
        <f t="shared" ref="N12:N52" si="6">G12/6</f>
        <v>1.1666666666666667</v>
      </c>
      <c r="O12" s="230">
        <f t="shared" ref="O12:O52" si="7">H12/6</f>
        <v>1.1666666666666667</v>
      </c>
      <c r="P12" s="230">
        <f t="shared" ref="P12:P52" si="8">I12/6</f>
        <v>0.83333333333333337</v>
      </c>
      <c r="Q12" s="230">
        <f t="shared" ref="Q12:Q52" si="9">J12/6</f>
        <v>1.1666666666666667</v>
      </c>
      <c r="R12" s="230">
        <f t="shared" ref="R12:R52" si="10">K12/6</f>
        <v>1.1666666666666667</v>
      </c>
    </row>
    <row r="13" spans="2:18" x14ac:dyDescent="0.15">
      <c r="B13" t="s">
        <v>8</v>
      </c>
      <c r="C13" s="2">
        <v>6</v>
      </c>
      <c r="D13" s="224">
        <f t="shared" si="1"/>
        <v>1</v>
      </c>
      <c r="E13" s="223">
        <v>6</v>
      </c>
      <c r="F13" s="223">
        <v>6</v>
      </c>
      <c r="G13" s="223">
        <v>6.5</v>
      </c>
      <c r="H13" s="223">
        <v>6</v>
      </c>
      <c r="I13" s="223">
        <v>5</v>
      </c>
      <c r="J13" s="223">
        <v>6</v>
      </c>
      <c r="K13" s="223">
        <v>6</v>
      </c>
      <c r="L13" s="230">
        <f t="shared" si="4"/>
        <v>1</v>
      </c>
      <c r="M13" s="230">
        <f t="shared" si="5"/>
        <v>1</v>
      </c>
      <c r="N13" s="230">
        <f t="shared" si="6"/>
        <v>1.0833333333333333</v>
      </c>
      <c r="O13" s="230">
        <f t="shared" si="7"/>
        <v>1</v>
      </c>
      <c r="P13" s="230">
        <f t="shared" si="8"/>
        <v>0.83333333333333337</v>
      </c>
      <c r="Q13" s="230">
        <f t="shared" si="9"/>
        <v>1</v>
      </c>
      <c r="R13" s="230">
        <f t="shared" si="10"/>
        <v>1</v>
      </c>
    </row>
    <row r="14" spans="2:18" x14ac:dyDescent="0.15">
      <c r="B14" t="s">
        <v>26</v>
      </c>
      <c r="C14" s="2">
        <v>7.5</v>
      </c>
      <c r="D14" s="224">
        <f t="shared" si="1"/>
        <v>1.25</v>
      </c>
      <c r="E14" s="223">
        <v>7.5</v>
      </c>
      <c r="F14" s="223">
        <v>7.5</v>
      </c>
      <c r="G14" s="223">
        <v>7.5</v>
      </c>
      <c r="H14" s="223">
        <v>7.5</v>
      </c>
      <c r="I14" s="223">
        <v>5</v>
      </c>
      <c r="J14" s="223">
        <v>7.5</v>
      </c>
      <c r="K14" s="223">
        <v>7.5</v>
      </c>
      <c r="L14" s="230">
        <f t="shared" si="4"/>
        <v>1.25</v>
      </c>
      <c r="M14" s="230">
        <f t="shared" si="5"/>
        <v>1.25</v>
      </c>
      <c r="N14" s="230">
        <f t="shared" si="6"/>
        <v>1.25</v>
      </c>
      <c r="O14" s="230">
        <f t="shared" si="7"/>
        <v>1.25</v>
      </c>
      <c r="P14" s="230">
        <f t="shared" si="8"/>
        <v>0.83333333333333337</v>
      </c>
      <c r="Q14" s="230">
        <f t="shared" si="9"/>
        <v>1.25</v>
      </c>
      <c r="R14" s="230">
        <f t="shared" si="10"/>
        <v>1.25</v>
      </c>
    </row>
    <row r="15" spans="2:18" x14ac:dyDescent="0.15">
      <c r="B15" t="s">
        <v>7</v>
      </c>
      <c r="C15" s="2">
        <v>6</v>
      </c>
      <c r="D15" s="224">
        <f t="shared" si="1"/>
        <v>1</v>
      </c>
      <c r="E15" s="223">
        <v>6</v>
      </c>
      <c r="F15" s="223">
        <v>7</v>
      </c>
      <c r="G15" s="223">
        <v>7</v>
      </c>
      <c r="H15" s="223">
        <v>6</v>
      </c>
      <c r="I15" s="223">
        <v>4</v>
      </c>
      <c r="J15" s="223">
        <v>6</v>
      </c>
      <c r="K15" s="223">
        <v>6</v>
      </c>
      <c r="L15" s="230">
        <f t="shared" si="4"/>
        <v>1</v>
      </c>
      <c r="M15" s="230">
        <f t="shared" si="5"/>
        <v>1.1666666666666667</v>
      </c>
      <c r="N15" s="230">
        <f t="shared" si="6"/>
        <v>1.1666666666666667</v>
      </c>
      <c r="O15" s="230">
        <f t="shared" si="7"/>
        <v>1</v>
      </c>
      <c r="P15" s="230">
        <f t="shared" si="8"/>
        <v>0.66666666666666663</v>
      </c>
      <c r="Q15" s="230">
        <f t="shared" si="9"/>
        <v>1</v>
      </c>
      <c r="R15" s="230">
        <f t="shared" si="10"/>
        <v>1</v>
      </c>
    </row>
    <row r="16" spans="2:18" x14ac:dyDescent="0.15">
      <c r="B16" t="s">
        <v>31</v>
      </c>
      <c r="C16" s="2">
        <v>11</v>
      </c>
      <c r="D16" s="224">
        <f t="shared" si="1"/>
        <v>1.8333333333333333</v>
      </c>
      <c r="E16" s="223">
        <v>7.5</v>
      </c>
      <c r="F16" s="223">
        <v>11</v>
      </c>
      <c r="G16" s="223">
        <v>7.25</v>
      </c>
      <c r="H16" s="223">
        <v>11</v>
      </c>
      <c r="I16" s="223">
        <v>5</v>
      </c>
      <c r="J16" s="223">
        <v>11</v>
      </c>
      <c r="K16" s="223">
        <v>11</v>
      </c>
      <c r="L16" s="230">
        <f t="shared" si="4"/>
        <v>1.25</v>
      </c>
      <c r="M16" s="230">
        <f t="shared" si="5"/>
        <v>1.8333333333333333</v>
      </c>
      <c r="N16" s="230">
        <f t="shared" si="6"/>
        <v>1.2083333333333333</v>
      </c>
      <c r="O16" s="230">
        <f t="shared" si="7"/>
        <v>1.8333333333333333</v>
      </c>
      <c r="P16" s="230">
        <f t="shared" si="8"/>
        <v>0.83333333333333337</v>
      </c>
      <c r="Q16" s="230">
        <f t="shared" si="9"/>
        <v>1.8333333333333333</v>
      </c>
      <c r="R16" s="230">
        <f t="shared" si="10"/>
        <v>1.8333333333333333</v>
      </c>
    </row>
    <row r="17" spans="2:18" x14ac:dyDescent="0.15">
      <c r="B17" t="s">
        <v>403</v>
      </c>
      <c r="C17" s="2">
        <v>5.5</v>
      </c>
      <c r="D17" s="224">
        <f>(C17/6)</f>
        <v>0.91666666666666663</v>
      </c>
      <c r="E17" s="223">
        <v>5.5</v>
      </c>
      <c r="F17" s="223">
        <v>5.5</v>
      </c>
      <c r="G17" s="223">
        <v>5.5</v>
      </c>
      <c r="H17" s="223">
        <v>5.5</v>
      </c>
      <c r="I17" s="223">
        <v>8</v>
      </c>
      <c r="J17" s="223">
        <v>5.5</v>
      </c>
      <c r="K17" s="223">
        <v>5.5</v>
      </c>
      <c r="L17" s="230">
        <f t="shared" ref="L17:R17" si="11">E17/6</f>
        <v>0.91666666666666663</v>
      </c>
      <c r="M17" s="230">
        <f t="shared" si="11"/>
        <v>0.91666666666666663</v>
      </c>
      <c r="N17" s="230">
        <f t="shared" si="11"/>
        <v>0.91666666666666663</v>
      </c>
      <c r="O17" s="230">
        <f t="shared" si="11"/>
        <v>0.91666666666666663</v>
      </c>
      <c r="P17" s="230">
        <f t="shared" si="11"/>
        <v>1.3333333333333333</v>
      </c>
      <c r="Q17" s="230">
        <f t="shared" si="11"/>
        <v>0.91666666666666663</v>
      </c>
      <c r="R17" s="230">
        <f t="shared" si="11"/>
        <v>0.91666666666666663</v>
      </c>
    </row>
    <row r="18" spans="2:18" x14ac:dyDescent="0.15">
      <c r="B18" t="s">
        <v>6</v>
      </c>
      <c r="C18" s="2">
        <v>6</v>
      </c>
      <c r="D18" s="224">
        <f t="shared" si="1"/>
        <v>1</v>
      </c>
      <c r="E18" s="223">
        <v>5.5</v>
      </c>
      <c r="F18" s="223">
        <v>7</v>
      </c>
      <c r="G18" s="223">
        <v>6</v>
      </c>
      <c r="H18" s="223">
        <v>6</v>
      </c>
      <c r="I18" s="223">
        <v>4</v>
      </c>
      <c r="J18" s="223">
        <v>6</v>
      </c>
      <c r="K18" s="223">
        <v>6</v>
      </c>
      <c r="L18" s="230">
        <f t="shared" si="4"/>
        <v>0.91666666666666663</v>
      </c>
      <c r="M18" s="230">
        <f t="shared" si="5"/>
        <v>1.1666666666666667</v>
      </c>
      <c r="N18" s="230">
        <f t="shared" si="6"/>
        <v>1</v>
      </c>
      <c r="O18" s="230">
        <f t="shared" si="7"/>
        <v>1</v>
      </c>
      <c r="P18" s="230">
        <f t="shared" si="8"/>
        <v>0.66666666666666663</v>
      </c>
      <c r="Q18" s="230">
        <f t="shared" si="9"/>
        <v>1</v>
      </c>
      <c r="R18" s="230">
        <f t="shared" si="10"/>
        <v>1</v>
      </c>
    </row>
    <row r="19" spans="2:18" x14ac:dyDescent="0.15">
      <c r="B19" t="s">
        <v>17</v>
      </c>
      <c r="C19" s="2">
        <v>7</v>
      </c>
      <c r="D19" s="224">
        <f t="shared" si="1"/>
        <v>1.1666666666666667</v>
      </c>
      <c r="E19" s="223">
        <v>6.5</v>
      </c>
      <c r="F19" s="223">
        <v>8</v>
      </c>
      <c r="G19" s="223">
        <v>7</v>
      </c>
      <c r="H19" s="223">
        <v>7</v>
      </c>
      <c r="I19" s="223">
        <v>4</v>
      </c>
      <c r="J19" s="223">
        <v>7</v>
      </c>
      <c r="K19" s="223">
        <v>7</v>
      </c>
      <c r="L19" s="230">
        <f t="shared" si="4"/>
        <v>1.0833333333333333</v>
      </c>
      <c r="M19" s="230">
        <f t="shared" si="5"/>
        <v>1.3333333333333333</v>
      </c>
      <c r="N19" s="230">
        <f t="shared" si="6"/>
        <v>1.1666666666666667</v>
      </c>
      <c r="O19" s="230">
        <f t="shared" si="7"/>
        <v>1.1666666666666667</v>
      </c>
      <c r="P19" s="230">
        <f t="shared" si="8"/>
        <v>0.66666666666666663</v>
      </c>
      <c r="Q19" s="230">
        <f t="shared" si="9"/>
        <v>1.1666666666666667</v>
      </c>
      <c r="R19" s="230">
        <f t="shared" si="10"/>
        <v>1.1666666666666667</v>
      </c>
    </row>
    <row r="20" spans="2:18" x14ac:dyDescent="0.15">
      <c r="B20" t="s">
        <v>24</v>
      </c>
      <c r="C20" s="2">
        <v>7.25</v>
      </c>
      <c r="D20" s="224">
        <f t="shared" si="1"/>
        <v>1.2083333333333333</v>
      </c>
      <c r="E20" s="223">
        <v>7.25</v>
      </c>
      <c r="F20" s="223">
        <v>7.25</v>
      </c>
      <c r="G20" s="223">
        <v>7.25</v>
      </c>
      <c r="H20" s="223">
        <v>7.25</v>
      </c>
      <c r="I20" s="223">
        <v>5.5</v>
      </c>
      <c r="J20" s="223">
        <v>7.25</v>
      </c>
      <c r="K20" s="223">
        <v>7.25</v>
      </c>
      <c r="L20" s="230">
        <f t="shared" si="4"/>
        <v>1.2083333333333333</v>
      </c>
      <c r="M20" s="230">
        <f t="shared" si="5"/>
        <v>1.2083333333333333</v>
      </c>
      <c r="N20" s="230">
        <f t="shared" si="6"/>
        <v>1.2083333333333333</v>
      </c>
      <c r="O20" s="230">
        <f t="shared" si="7"/>
        <v>1.2083333333333333</v>
      </c>
      <c r="P20" s="230">
        <f t="shared" si="8"/>
        <v>0.91666666666666663</v>
      </c>
      <c r="Q20" s="230">
        <f t="shared" si="9"/>
        <v>1.2083333333333333</v>
      </c>
      <c r="R20" s="230">
        <f t="shared" si="10"/>
        <v>1.2083333333333333</v>
      </c>
    </row>
    <row r="21" spans="2:18" x14ac:dyDescent="0.15">
      <c r="B21" t="s">
        <v>19</v>
      </c>
      <c r="C21" s="2">
        <v>7</v>
      </c>
      <c r="D21" s="224">
        <f t="shared" si="1"/>
        <v>1.1666666666666667</v>
      </c>
      <c r="E21" s="223">
        <v>7</v>
      </c>
      <c r="F21" s="223">
        <v>7</v>
      </c>
      <c r="G21" s="223">
        <v>6.5</v>
      </c>
      <c r="H21" s="223">
        <v>7</v>
      </c>
      <c r="I21" s="223">
        <v>4.5</v>
      </c>
      <c r="J21" s="223">
        <v>7</v>
      </c>
      <c r="K21" s="223">
        <v>7</v>
      </c>
      <c r="L21" s="230">
        <f t="shared" si="4"/>
        <v>1.1666666666666667</v>
      </c>
      <c r="M21" s="230">
        <f t="shared" si="5"/>
        <v>1.1666666666666667</v>
      </c>
      <c r="N21" s="230">
        <f t="shared" si="6"/>
        <v>1.0833333333333333</v>
      </c>
      <c r="O21" s="230">
        <f t="shared" si="7"/>
        <v>1.1666666666666667</v>
      </c>
      <c r="P21" s="230">
        <f t="shared" si="8"/>
        <v>0.75</v>
      </c>
      <c r="Q21" s="230">
        <f t="shared" si="9"/>
        <v>1.1666666666666667</v>
      </c>
      <c r="R21" s="230">
        <f t="shared" si="10"/>
        <v>1.1666666666666667</v>
      </c>
    </row>
    <row r="22" spans="2:18" x14ac:dyDescent="0.15">
      <c r="B22" t="s">
        <v>20</v>
      </c>
      <c r="C22" s="2">
        <v>7</v>
      </c>
      <c r="D22" s="224">
        <f t="shared" si="1"/>
        <v>1.1666666666666667</v>
      </c>
      <c r="E22" s="223">
        <v>7</v>
      </c>
      <c r="F22" s="223">
        <v>7</v>
      </c>
      <c r="G22" s="223">
        <v>7</v>
      </c>
      <c r="H22" s="223">
        <v>7</v>
      </c>
      <c r="I22" s="223">
        <v>7</v>
      </c>
      <c r="J22" s="223">
        <v>7</v>
      </c>
      <c r="K22" s="223">
        <v>7</v>
      </c>
      <c r="L22" s="230">
        <f t="shared" si="4"/>
        <v>1.1666666666666667</v>
      </c>
      <c r="M22" s="230">
        <f t="shared" si="5"/>
        <v>1.1666666666666667</v>
      </c>
      <c r="N22" s="230">
        <f t="shared" si="6"/>
        <v>1.1666666666666667</v>
      </c>
      <c r="O22" s="230">
        <f t="shared" si="7"/>
        <v>1.1666666666666667</v>
      </c>
      <c r="P22" s="230">
        <f t="shared" si="8"/>
        <v>1.1666666666666667</v>
      </c>
      <c r="Q22" s="230">
        <f t="shared" si="9"/>
        <v>1.1666666666666667</v>
      </c>
      <c r="R22" s="230">
        <f t="shared" si="10"/>
        <v>1.1666666666666667</v>
      </c>
    </row>
    <row r="23" spans="2:18" x14ac:dyDescent="0.15">
      <c r="B23" t="s">
        <v>35</v>
      </c>
      <c r="C23" s="2">
        <v>15</v>
      </c>
      <c r="D23" s="224">
        <f t="shared" si="1"/>
        <v>2.5</v>
      </c>
      <c r="E23" s="223">
        <v>15</v>
      </c>
      <c r="F23" s="223">
        <v>15</v>
      </c>
      <c r="G23" s="223">
        <v>15</v>
      </c>
      <c r="H23" s="223">
        <v>15</v>
      </c>
      <c r="I23" s="223">
        <v>8</v>
      </c>
      <c r="J23" s="223">
        <v>15</v>
      </c>
      <c r="K23" s="223">
        <v>15</v>
      </c>
      <c r="L23" s="230">
        <f t="shared" si="4"/>
        <v>2.5</v>
      </c>
      <c r="M23" s="230">
        <f t="shared" si="5"/>
        <v>2.5</v>
      </c>
      <c r="N23" s="230">
        <f t="shared" si="6"/>
        <v>2.5</v>
      </c>
      <c r="O23" s="230">
        <f t="shared" si="7"/>
        <v>2.5</v>
      </c>
      <c r="P23" s="230">
        <f t="shared" si="8"/>
        <v>1.3333333333333333</v>
      </c>
      <c r="Q23" s="230">
        <f t="shared" si="9"/>
        <v>2.5</v>
      </c>
      <c r="R23" s="230">
        <f t="shared" si="10"/>
        <v>2.5</v>
      </c>
    </row>
    <row r="24" spans="2:18" x14ac:dyDescent="0.15">
      <c r="B24" t="s">
        <v>9</v>
      </c>
      <c r="C24" s="2">
        <v>6</v>
      </c>
      <c r="D24" s="224">
        <f t="shared" si="1"/>
        <v>1</v>
      </c>
      <c r="E24" s="223">
        <v>6</v>
      </c>
      <c r="F24" s="223">
        <v>6</v>
      </c>
      <c r="G24" s="223">
        <v>6</v>
      </c>
      <c r="H24" s="223">
        <v>6</v>
      </c>
      <c r="I24" s="223">
        <v>6</v>
      </c>
      <c r="J24" s="223">
        <v>6</v>
      </c>
      <c r="K24" s="223">
        <v>6</v>
      </c>
      <c r="L24" s="230">
        <f t="shared" si="4"/>
        <v>1</v>
      </c>
      <c r="M24" s="230">
        <f t="shared" si="5"/>
        <v>1</v>
      </c>
      <c r="N24" s="230">
        <f t="shared" si="6"/>
        <v>1</v>
      </c>
      <c r="O24" s="230">
        <f t="shared" si="7"/>
        <v>1</v>
      </c>
      <c r="P24" s="230">
        <f t="shared" si="8"/>
        <v>1</v>
      </c>
      <c r="Q24" s="230">
        <f t="shared" si="9"/>
        <v>1</v>
      </c>
      <c r="R24" s="230">
        <f t="shared" si="10"/>
        <v>1</v>
      </c>
    </row>
    <row r="25" spans="2:18" x14ac:dyDescent="0.15">
      <c r="B25" t="s">
        <v>36</v>
      </c>
      <c r="C25" s="2">
        <v>6.25</v>
      </c>
      <c r="D25" s="224">
        <f t="shared" si="1"/>
        <v>1.0416666666666667</v>
      </c>
      <c r="E25" s="223">
        <v>6.25</v>
      </c>
      <c r="F25" s="223">
        <v>6.25</v>
      </c>
      <c r="G25" s="223">
        <v>6.25</v>
      </c>
      <c r="H25" s="223">
        <v>6.25</v>
      </c>
      <c r="I25" s="223">
        <v>4</v>
      </c>
      <c r="J25" s="223">
        <v>6.25</v>
      </c>
      <c r="K25" s="223">
        <v>6.25</v>
      </c>
      <c r="L25" s="230">
        <f t="shared" si="4"/>
        <v>1.0416666666666667</v>
      </c>
      <c r="M25" s="230">
        <f t="shared" si="5"/>
        <v>1.0416666666666667</v>
      </c>
      <c r="N25" s="230">
        <f t="shared" si="6"/>
        <v>1.0416666666666667</v>
      </c>
      <c r="O25" s="230">
        <f t="shared" si="7"/>
        <v>1.0416666666666667</v>
      </c>
      <c r="P25" s="230">
        <f t="shared" si="8"/>
        <v>0.66666666666666663</v>
      </c>
      <c r="Q25" s="230">
        <f t="shared" si="9"/>
        <v>1.0416666666666667</v>
      </c>
      <c r="R25" s="230">
        <f t="shared" si="10"/>
        <v>1.0416666666666667</v>
      </c>
    </row>
    <row r="26" spans="2:18" x14ac:dyDescent="0.15">
      <c r="B26" t="s">
        <v>3</v>
      </c>
      <c r="C26" s="2">
        <v>5.75</v>
      </c>
      <c r="D26" s="224">
        <f t="shared" si="1"/>
        <v>0.95833333333333337</v>
      </c>
      <c r="E26" s="223">
        <v>5.75</v>
      </c>
      <c r="F26" s="223">
        <v>5.75</v>
      </c>
      <c r="G26" s="223">
        <v>5.75</v>
      </c>
      <c r="H26" s="223">
        <v>5.75</v>
      </c>
      <c r="I26" s="223">
        <v>4</v>
      </c>
      <c r="J26" s="223">
        <v>5.75</v>
      </c>
      <c r="K26" s="223">
        <v>5.75</v>
      </c>
      <c r="L26" s="230">
        <f t="shared" si="4"/>
        <v>0.95833333333333337</v>
      </c>
      <c r="M26" s="230">
        <f t="shared" si="5"/>
        <v>0.95833333333333337</v>
      </c>
      <c r="N26" s="230">
        <f t="shared" si="6"/>
        <v>0.95833333333333337</v>
      </c>
      <c r="O26" s="230">
        <f t="shared" si="7"/>
        <v>0.95833333333333337</v>
      </c>
      <c r="P26" s="230">
        <f t="shared" si="8"/>
        <v>0.66666666666666663</v>
      </c>
      <c r="Q26" s="230">
        <f t="shared" si="9"/>
        <v>0.95833333333333337</v>
      </c>
      <c r="R26" s="230">
        <f t="shared" si="10"/>
        <v>0.95833333333333337</v>
      </c>
    </row>
    <row r="27" spans="2:18" x14ac:dyDescent="0.15">
      <c r="B27" t="s">
        <v>10</v>
      </c>
      <c r="C27" s="2">
        <v>6</v>
      </c>
      <c r="D27" s="224">
        <f t="shared" si="1"/>
        <v>1</v>
      </c>
      <c r="E27" s="223">
        <v>3.75</v>
      </c>
      <c r="F27" s="223">
        <v>6</v>
      </c>
      <c r="G27" s="223">
        <v>6.5</v>
      </c>
      <c r="H27" s="223">
        <v>6.25</v>
      </c>
      <c r="I27" s="223">
        <v>4.5</v>
      </c>
      <c r="J27" s="223">
        <v>6</v>
      </c>
      <c r="K27" s="223">
        <v>6</v>
      </c>
      <c r="L27" s="230">
        <f t="shared" si="4"/>
        <v>0.625</v>
      </c>
      <c r="M27" s="230">
        <f t="shared" si="5"/>
        <v>1</v>
      </c>
      <c r="N27" s="230">
        <f t="shared" si="6"/>
        <v>1.0833333333333333</v>
      </c>
      <c r="O27" s="230">
        <f t="shared" si="7"/>
        <v>1.0416666666666667</v>
      </c>
      <c r="P27" s="230">
        <f t="shared" si="8"/>
        <v>0.75</v>
      </c>
      <c r="Q27" s="230">
        <f t="shared" si="9"/>
        <v>1</v>
      </c>
      <c r="R27" s="230">
        <f t="shared" si="10"/>
        <v>1</v>
      </c>
    </row>
    <row r="28" spans="2:18" x14ac:dyDescent="0.15">
      <c r="B28" t="s">
        <v>25</v>
      </c>
      <c r="C28" s="2">
        <v>7.25</v>
      </c>
      <c r="D28" s="224">
        <f t="shared" si="1"/>
        <v>1.2083333333333333</v>
      </c>
      <c r="E28" s="223">
        <v>5.75</v>
      </c>
      <c r="F28" s="223">
        <v>7.5</v>
      </c>
      <c r="G28" s="223">
        <v>7</v>
      </c>
      <c r="H28" s="223">
        <v>6.75</v>
      </c>
      <c r="I28" s="223">
        <v>6</v>
      </c>
      <c r="J28" s="223">
        <v>6</v>
      </c>
      <c r="K28" s="223">
        <v>2.5</v>
      </c>
      <c r="L28" s="230">
        <f t="shared" si="4"/>
        <v>0.95833333333333337</v>
      </c>
      <c r="M28" s="230">
        <f t="shared" si="5"/>
        <v>1.25</v>
      </c>
      <c r="N28" s="230">
        <f t="shared" si="6"/>
        <v>1.1666666666666667</v>
      </c>
      <c r="O28" s="230">
        <f t="shared" si="7"/>
        <v>1.125</v>
      </c>
      <c r="P28" s="230">
        <f t="shared" si="8"/>
        <v>1</v>
      </c>
      <c r="Q28" s="230">
        <f t="shared" si="9"/>
        <v>1</v>
      </c>
      <c r="R28" s="230">
        <f t="shared" si="10"/>
        <v>0.41666666666666669</v>
      </c>
    </row>
    <row r="29" spans="2:18" x14ac:dyDescent="0.15">
      <c r="B29" t="s">
        <v>32</v>
      </c>
      <c r="C29" s="2">
        <v>11</v>
      </c>
      <c r="D29" s="224">
        <f t="shared" si="1"/>
        <v>1.8333333333333333</v>
      </c>
      <c r="E29" s="223">
        <v>6.5</v>
      </c>
      <c r="F29" s="223">
        <v>11</v>
      </c>
      <c r="G29" s="223">
        <v>11</v>
      </c>
      <c r="H29" s="223">
        <v>11</v>
      </c>
      <c r="I29" s="223">
        <v>11</v>
      </c>
      <c r="J29" s="223">
        <v>11</v>
      </c>
      <c r="K29" s="223">
        <v>11</v>
      </c>
      <c r="L29" s="230">
        <f t="shared" si="4"/>
        <v>1.0833333333333333</v>
      </c>
      <c r="M29" s="230">
        <f t="shared" si="5"/>
        <v>1.8333333333333333</v>
      </c>
      <c r="N29" s="230">
        <f t="shared" si="6"/>
        <v>1.8333333333333333</v>
      </c>
      <c r="O29" s="230">
        <f t="shared" si="7"/>
        <v>1.8333333333333333</v>
      </c>
      <c r="P29" s="230">
        <f t="shared" si="8"/>
        <v>1.8333333333333333</v>
      </c>
      <c r="Q29" s="230">
        <f t="shared" si="9"/>
        <v>1.8333333333333333</v>
      </c>
      <c r="R29" s="230">
        <f t="shared" si="10"/>
        <v>1.8333333333333333</v>
      </c>
    </row>
    <row r="30" spans="2:18" x14ac:dyDescent="0.15">
      <c r="B30" t="s">
        <v>21</v>
      </c>
      <c r="C30" s="2">
        <v>7</v>
      </c>
      <c r="D30" s="224">
        <f t="shared" si="1"/>
        <v>1.1666666666666667</v>
      </c>
      <c r="E30" s="223">
        <v>6</v>
      </c>
      <c r="F30" s="223">
        <v>8</v>
      </c>
      <c r="G30" s="223">
        <v>7</v>
      </c>
      <c r="H30" s="223">
        <v>6.75</v>
      </c>
      <c r="I30" s="223">
        <v>6</v>
      </c>
      <c r="J30" s="223">
        <v>7</v>
      </c>
      <c r="K30" s="223">
        <v>7</v>
      </c>
      <c r="L30" s="230">
        <f t="shared" si="4"/>
        <v>1</v>
      </c>
      <c r="M30" s="230">
        <f t="shared" si="5"/>
        <v>1.3333333333333333</v>
      </c>
      <c r="N30" s="230">
        <f t="shared" si="6"/>
        <v>1.1666666666666667</v>
      </c>
      <c r="O30" s="230">
        <f t="shared" si="7"/>
        <v>1.125</v>
      </c>
      <c r="P30" s="230">
        <f t="shared" si="8"/>
        <v>1</v>
      </c>
      <c r="Q30" s="230">
        <f t="shared" si="9"/>
        <v>1.1666666666666667</v>
      </c>
      <c r="R30" s="230">
        <f t="shared" si="10"/>
        <v>1.1666666666666667</v>
      </c>
    </row>
    <row r="31" spans="2:18" x14ac:dyDescent="0.15">
      <c r="B31" t="s">
        <v>12</v>
      </c>
      <c r="C31" s="2">
        <v>6.25</v>
      </c>
      <c r="D31" s="224">
        <f t="shared" si="1"/>
        <v>1.0416666666666667</v>
      </c>
      <c r="E31" s="223">
        <v>6.25</v>
      </c>
      <c r="F31" s="223">
        <v>6.25</v>
      </c>
      <c r="G31" s="223">
        <v>6.25</v>
      </c>
      <c r="H31" s="223">
        <v>6.25</v>
      </c>
      <c r="I31" s="223">
        <v>6</v>
      </c>
      <c r="J31" s="223">
        <v>6.25</v>
      </c>
      <c r="K31" s="223">
        <v>6.25</v>
      </c>
      <c r="L31" s="230">
        <f t="shared" si="4"/>
        <v>1.0416666666666667</v>
      </c>
      <c r="M31" s="230">
        <f t="shared" si="5"/>
        <v>1.0416666666666667</v>
      </c>
      <c r="N31" s="230">
        <f t="shared" si="6"/>
        <v>1.0416666666666667</v>
      </c>
      <c r="O31" s="230">
        <f t="shared" si="7"/>
        <v>1.0416666666666667</v>
      </c>
      <c r="P31" s="230">
        <f t="shared" si="8"/>
        <v>1</v>
      </c>
      <c r="Q31" s="230">
        <f t="shared" si="9"/>
        <v>1.0416666666666667</v>
      </c>
      <c r="R31" s="230">
        <f t="shared" si="10"/>
        <v>1.0416666666666667</v>
      </c>
    </row>
    <row r="32" spans="2:18" x14ac:dyDescent="0.15">
      <c r="B32" t="s">
        <v>1</v>
      </c>
      <c r="C32" s="2">
        <v>5.5</v>
      </c>
      <c r="D32" s="224">
        <f t="shared" si="1"/>
        <v>0.91666666666666663</v>
      </c>
      <c r="E32" s="223">
        <v>5.5</v>
      </c>
      <c r="F32" s="223">
        <v>5.5</v>
      </c>
      <c r="G32" s="223">
        <v>5.5</v>
      </c>
      <c r="H32" s="223">
        <v>5.5</v>
      </c>
      <c r="I32" s="223">
        <v>6</v>
      </c>
      <c r="J32" s="223">
        <v>5.5</v>
      </c>
      <c r="K32" s="223">
        <v>5.5</v>
      </c>
      <c r="L32" s="230">
        <f t="shared" si="4"/>
        <v>0.91666666666666663</v>
      </c>
      <c r="M32" s="230">
        <f t="shared" si="5"/>
        <v>0.91666666666666663</v>
      </c>
      <c r="N32" s="230">
        <f t="shared" si="6"/>
        <v>0.91666666666666663</v>
      </c>
      <c r="O32" s="230">
        <f t="shared" si="7"/>
        <v>0.91666666666666663</v>
      </c>
      <c r="P32" s="230">
        <f t="shared" si="8"/>
        <v>1</v>
      </c>
      <c r="Q32" s="230">
        <f t="shared" si="9"/>
        <v>0.91666666666666663</v>
      </c>
      <c r="R32" s="230">
        <f t="shared" si="10"/>
        <v>0.91666666666666663</v>
      </c>
    </row>
    <row r="33" spans="2:18" x14ac:dyDescent="0.15">
      <c r="B33" t="s">
        <v>29</v>
      </c>
      <c r="C33" s="2">
        <v>9</v>
      </c>
      <c r="D33" s="224">
        <f t="shared" si="1"/>
        <v>1.5</v>
      </c>
      <c r="E33" s="223">
        <v>8.25</v>
      </c>
      <c r="F33" s="223">
        <v>9</v>
      </c>
      <c r="G33" s="223">
        <v>9</v>
      </c>
      <c r="H33" s="223">
        <v>9</v>
      </c>
      <c r="I33" s="223">
        <v>8</v>
      </c>
      <c r="J33" s="223">
        <v>9</v>
      </c>
      <c r="K33" s="223">
        <v>9</v>
      </c>
      <c r="L33" s="230">
        <f t="shared" si="4"/>
        <v>1.375</v>
      </c>
      <c r="M33" s="230">
        <f t="shared" si="5"/>
        <v>1.5</v>
      </c>
      <c r="N33" s="230">
        <f t="shared" si="6"/>
        <v>1.5</v>
      </c>
      <c r="O33" s="230">
        <f t="shared" si="7"/>
        <v>1.5</v>
      </c>
      <c r="P33" s="230">
        <f t="shared" si="8"/>
        <v>1.3333333333333333</v>
      </c>
      <c r="Q33" s="230">
        <f t="shared" si="9"/>
        <v>1.5</v>
      </c>
      <c r="R33" s="230">
        <f t="shared" si="10"/>
        <v>1.5</v>
      </c>
    </row>
    <row r="34" spans="2:18" x14ac:dyDescent="0.15">
      <c r="B34" t="s">
        <v>22</v>
      </c>
      <c r="C34" s="2">
        <v>7</v>
      </c>
      <c r="D34" s="224">
        <f t="shared" si="1"/>
        <v>1.1666666666666667</v>
      </c>
      <c r="E34" s="223">
        <v>7</v>
      </c>
      <c r="F34" s="223">
        <v>7</v>
      </c>
      <c r="G34" s="223">
        <v>7</v>
      </c>
      <c r="H34" s="223">
        <v>7</v>
      </c>
      <c r="I34" s="223">
        <v>7</v>
      </c>
      <c r="J34" s="223">
        <v>7</v>
      </c>
      <c r="K34" s="223">
        <v>7</v>
      </c>
      <c r="L34" s="230">
        <f t="shared" si="4"/>
        <v>1.1666666666666667</v>
      </c>
      <c r="M34" s="230">
        <f t="shared" si="5"/>
        <v>1.1666666666666667</v>
      </c>
      <c r="N34" s="230">
        <f t="shared" si="6"/>
        <v>1.1666666666666667</v>
      </c>
      <c r="O34" s="230">
        <f t="shared" si="7"/>
        <v>1.1666666666666667</v>
      </c>
      <c r="P34" s="230">
        <f t="shared" si="8"/>
        <v>1.1666666666666667</v>
      </c>
      <c r="Q34" s="230">
        <f t="shared" si="9"/>
        <v>1.1666666666666667</v>
      </c>
      <c r="R34" s="230">
        <f t="shared" si="10"/>
        <v>1.1666666666666667</v>
      </c>
    </row>
    <row r="35" spans="2:18" x14ac:dyDescent="0.15">
      <c r="B35" t="s">
        <v>37</v>
      </c>
      <c r="C35" s="2">
        <v>6</v>
      </c>
      <c r="D35" s="224">
        <f t="shared" si="1"/>
        <v>1</v>
      </c>
      <c r="E35" s="223">
        <v>5</v>
      </c>
      <c r="F35" s="223">
        <v>6</v>
      </c>
      <c r="G35" s="223">
        <v>6.5</v>
      </c>
      <c r="H35" s="223">
        <v>6</v>
      </c>
      <c r="I35" s="223">
        <v>4.5</v>
      </c>
      <c r="J35" s="223">
        <v>6</v>
      </c>
      <c r="K35" s="223">
        <v>6</v>
      </c>
      <c r="L35" s="230">
        <f t="shared" si="4"/>
        <v>0.83333333333333337</v>
      </c>
      <c r="M35" s="230">
        <f t="shared" si="5"/>
        <v>1</v>
      </c>
      <c r="N35" s="230">
        <f t="shared" si="6"/>
        <v>1.0833333333333333</v>
      </c>
      <c r="O35" s="230">
        <f t="shared" si="7"/>
        <v>1</v>
      </c>
      <c r="P35" s="230">
        <f t="shared" si="8"/>
        <v>0.75</v>
      </c>
      <c r="Q35" s="230">
        <f t="shared" si="9"/>
        <v>1</v>
      </c>
      <c r="R35" s="230">
        <f t="shared" si="10"/>
        <v>1</v>
      </c>
    </row>
    <row r="36" spans="2:18" x14ac:dyDescent="0.15">
      <c r="B36" t="s">
        <v>2</v>
      </c>
      <c r="C36" s="2">
        <v>5.75</v>
      </c>
      <c r="D36" s="224">
        <f t="shared" si="1"/>
        <v>0.95833333333333337</v>
      </c>
      <c r="E36" s="223">
        <v>6</v>
      </c>
      <c r="F36" s="223">
        <v>6</v>
      </c>
      <c r="G36" s="223">
        <v>5.75</v>
      </c>
      <c r="H36" s="223">
        <v>5.75</v>
      </c>
      <c r="I36" s="223">
        <v>4</v>
      </c>
      <c r="J36" s="223">
        <v>5.75</v>
      </c>
      <c r="K36" s="223">
        <v>5.75</v>
      </c>
      <c r="L36" s="230">
        <f t="shared" si="4"/>
        <v>1</v>
      </c>
      <c r="M36" s="230">
        <f t="shared" si="5"/>
        <v>1</v>
      </c>
      <c r="N36" s="230">
        <f t="shared" si="6"/>
        <v>0.95833333333333337</v>
      </c>
      <c r="O36" s="230">
        <f t="shared" si="7"/>
        <v>0.95833333333333337</v>
      </c>
      <c r="P36" s="230">
        <f t="shared" si="8"/>
        <v>0.66666666666666663</v>
      </c>
      <c r="Q36" s="230">
        <f t="shared" si="9"/>
        <v>0.95833333333333337</v>
      </c>
      <c r="R36" s="230">
        <f t="shared" si="10"/>
        <v>0.95833333333333337</v>
      </c>
    </row>
    <row r="37" spans="2:18" x14ac:dyDescent="0.15">
      <c r="B37" t="s">
        <v>11</v>
      </c>
      <c r="C37" s="2">
        <v>6</v>
      </c>
      <c r="D37" s="224">
        <f t="shared" si="1"/>
        <v>1</v>
      </c>
      <c r="E37" s="223">
        <v>5.25</v>
      </c>
      <c r="F37" s="223">
        <v>6.5</v>
      </c>
      <c r="G37" s="223">
        <v>6</v>
      </c>
      <c r="H37" s="223">
        <v>6</v>
      </c>
      <c r="I37" s="223">
        <v>4.5</v>
      </c>
      <c r="J37" s="223">
        <v>6</v>
      </c>
      <c r="K37" s="223">
        <v>6</v>
      </c>
      <c r="L37" s="230">
        <f t="shared" si="4"/>
        <v>0.875</v>
      </c>
      <c r="M37" s="230">
        <f t="shared" si="5"/>
        <v>1.0833333333333333</v>
      </c>
      <c r="N37" s="230">
        <f t="shared" si="6"/>
        <v>1</v>
      </c>
      <c r="O37" s="230">
        <f t="shared" si="7"/>
        <v>1</v>
      </c>
      <c r="P37" s="230">
        <f t="shared" si="8"/>
        <v>0.75</v>
      </c>
      <c r="Q37" s="230">
        <f t="shared" si="9"/>
        <v>1</v>
      </c>
      <c r="R37" s="230">
        <f t="shared" si="10"/>
        <v>1</v>
      </c>
    </row>
    <row r="38" spans="2:18" x14ac:dyDescent="0.15">
      <c r="B38" t="s">
        <v>13</v>
      </c>
      <c r="C38" s="2">
        <v>6.25</v>
      </c>
      <c r="D38" s="224">
        <f t="shared" si="1"/>
        <v>1.0416666666666667</v>
      </c>
      <c r="E38" s="223">
        <v>7.5</v>
      </c>
      <c r="F38" s="223">
        <v>10</v>
      </c>
      <c r="G38" s="223">
        <v>6.25</v>
      </c>
      <c r="H38" s="223">
        <v>6.25</v>
      </c>
      <c r="I38" s="223">
        <v>6.5</v>
      </c>
      <c r="J38" s="223">
        <v>6.25</v>
      </c>
      <c r="K38" s="223">
        <v>6.25</v>
      </c>
      <c r="L38" s="230">
        <f t="shared" si="4"/>
        <v>1.25</v>
      </c>
      <c r="M38" s="230">
        <f t="shared" si="5"/>
        <v>1.6666666666666667</v>
      </c>
      <c r="N38" s="230">
        <f t="shared" si="6"/>
        <v>1.0416666666666667</v>
      </c>
      <c r="O38" s="230">
        <f t="shared" si="7"/>
        <v>1.0416666666666667</v>
      </c>
      <c r="P38" s="230">
        <f t="shared" si="8"/>
        <v>1.0833333333333333</v>
      </c>
      <c r="Q38" s="230">
        <f t="shared" si="9"/>
        <v>1.0416666666666667</v>
      </c>
      <c r="R38" s="230">
        <f t="shared" si="10"/>
        <v>1.0416666666666667</v>
      </c>
    </row>
    <row r="39" spans="2:18" x14ac:dyDescent="0.15">
      <c r="B39" t="s">
        <v>34</v>
      </c>
      <c r="C39" s="2">
        <v>13</v>
      </c>
      <c r="D39" s="224">
        <f t="shared" si="1"/>
        <v>2.1666666666666665</v>
      </c>
      <c r="E39" s="223">
        <v>13</v>
      </c>
      <c r="F39" s="223">
        <v>13</v>
      </c>
      <c r="G39" s="223">
        <v>13</v>
      </c>
      <c r="H39" s="223">
        <v>13</v>
      </c>
      <c r="I39" s="223">
        <v>13</v>
      </c>
      <c r="J39" s="223">
        <v>13</v>
      </c>
      <c r="K39" s="223">
        <v>13</v>
      </c>
      <c r="L39" s="230">
        <f t="shared" si="4"/>
        <v>2.1666666666666665</v>
      </c>
      <c r="M39" s="230">
        <f t="shared" si="5"/>
        <v>2.1666666666666665</v>
      </c>
      <c r="N39" s="230">
        <f t="shared" si="6"/>
        <v>2.1666666666666665</v>
      </c>
      <c r="O39" s="230">
        <f t="shared" si="7"/>
        <v>2.1666666666666665</v>
      </c>
      <c r="P39" s="230">
        <f t="shared" si="8"/>
        <v>2.1666666666666665</v>
      </c>
      <c r="Q39" s="230">
        <f t="shared" si="9"/>
        <v>2.1666666666666665</v>
      </c>
      <c r="R39" s="230">
        <f t="shared" si="10"/>
        <v>2.1666666666666665</v>
      </c>
    </row>
    <row r="40" spans="2:18" x14ac:dyDescent="0.15">
      <c r="B40" t="s">
        <v>15</v>
      </c>
      <c r="C40" s="2">
        <v>6.5</v>
      </c>
      <c r="D40" s="224">
        <f t="shared" si="1"/>
        <v>1.0833333333333333</v>
      </c>
      <c r="E40" s="223">
        <v>6.5</v>
      </c>
      <c r="F40" s="223">
        <v>6.5</v>
      </c>
      <c r="G40" s="223">
        <v>6.5</v>
      </c>
      <c r="H40" s="223">
        <v>6.5</v>
      </c>
      <c r="I40" s="223">
        <v>8</v>
      </c>
      <c r="J40" s="223">
        <v>6.5</v>
      </c>
      <c r="K40" s="223">
        <v>6.5</v>
      </c>
      <c r="L40" s="230">
        <f t="shared" si="4"/>
        <v>1.0833333333333333</v>
      </c>
      <c r="M40" s="230">
        <f t="shared" si="5"/>
        <v>1.0833333333333333</v>
      </c>
      <c r="N40" s="230">
        <f t="shared" si="6"/>
        <v>1.0833333333333333</v>
      </c>
      <c r="O40" s="230">
        <f t="shared" si="7"/>
        <v>1.0833333333333333</v>
      </c>
      <c r="P40" s="230">
        <f t="shared" si="8"/>
        <v>1.3333333333333333</v>
      </c>
      <c r="Q40" s="230">
        <f t="shared" si="9"/>
        <v>1.0833333333333333</v>
      </c>
      <c r="R40" s="230">
        <f t="shared" si="10"/>
        <v>1.0833333333333333</v>
      </c>
    </row>
    <row r="41" spans="2:18" x14ac:dyDescent="0.15">
      <c r="B41" t="s">
        <v>0</v>
      </c>
      <c r="C41" s="2">
        <v>6</v>
      </c>
      <c r="D41" s="224">
        <f t="shared" si="1"/>
        <v>1</v>
      </c>
      <c r="E41" s="223">
        <v>4.5</v>
      </c>
      <c r="F41" s="223">
        <v>6</v>
      </c>
      <c r="G41" s="223">
        <v>6.5</v>
      </c>
      <c r="H41" s="223">
        <v>6</v>
      </c>
      <c r="I41" s="223">
        <v>4</v>
      </c>
      <c r="J41" s="223">
        <v>6</v>
      </c>
      <c r="K41" s="223">
        <v>2</v>
      </c>
      <c r="L41" s="230">
        <f t="shared" si="4"/>
        <v>0.75</v>
      </c>
      <c r="M41" s="230">
        <f t="shared" si="5"/>
        <v>1</v>
      </c>
      <c r="N41" s="230">
        <f t="shared" si="6"/>
        <v>1.0833333333333333</v>
      </c>
      <c r="O41" s="230">
        <f t="shared" si="7"/>
        <v>1</v>
      </c>
      <c r="P41" s="230">
        <f t="shared" si="8"/>
        <v>0.66666666666666663</v>
      </c>
      <c r="Q41" s="230">
        <f t="shared" si="9"/>
        <v>1</v>
      </c>
      <c r="R41" s="230">
        <f t="shared" si="10"/>
        <v>0.33333333333333331</v>
      </c>
    </row>
    <row r="42" spans="2:18" x14ac:dyDescent="0.15">
      <c r="B42" t="s">
        <v>404</v>
      </c>
      <c r="C42" s="2">
        <v>7.25</v>
      </c>
      <c r="D42" s="224">
        <f t="shared" si="1"/>
        <v>1.2083333333333333</v>
      </c>
      <c r="E42" s="223">
        <v>6.25</v>
      </c>
      <c r="F42" s="223">
        <v>7</v>
      </c>
      <c r="G42" s="223">
        <v>7</v>
      </c>
      <c r="H42" s="223">
        <v>7.25</v>
      </c>
      <c r="I42" s="223">
        <v>4.5</v>
      </c>
      <c r="J42" s="223">
        <v>7.25</v>
      </c>
      <c r="K42" s="223">
        <v>7.25</v>
      </c>
      <c r="L42" s="230">
        <f t="shared" si="4"/>
        <v>1.0416666666666667</v>
      </c>
      <c r="M42" s="230">
        <f t="shared" si="5"/>
        <v>1.1666666666666667</v>
      </c>
      <c r="N42" s="230">
        <f t="shared" si="6"/>
        <v>1.1666666666666667</v>
      </c>
      <c r="O42" s="230">
        <f t="shared" si="7"/>
        <v>1.2083333333333333</v>
      </c>
      <c r="P42" s="230">
        <f t="shared" si="8"/>
        <v>0.75</v>
      </c>
      <c r="Q42" s="230">
        <f t="shared" si="9"/>
        <v>1.2083333333333333</v>
      </c>
      <c r="R42" s="230">
        <f t="shared" si="10"/>
        <v>1.2083333333333333</v>
      </c>
    </row>
    <row r="43" spans="2:18" x14ac:dyDescent="0.15">
      <c r="B43" t="s">
        <v>405</v>
      </c>
      <c r="C43" s="2">
        <v>6.5</v>
      </c>
      <c r="D43" s="224">
        <f t="shared" si="1"/>
        <v>1.0833333333333333</v>
      </c>
      <c r="E43" s="223">
        <v>4.75</v>
      </c>
      <c r="F43" s="223">
        <v>7</v>
      </c>
      <c r="G43" s="223">
        <v>6</v>
      </c>
      <c r="H43" s="223">
        <v>6.5</v>
      </c>
      <c r="I43" s="223">
        <v>3.5</v>
      </c>
      <c r="J43" s="223">
        <v>6.5</v>
      </c>
      <c r="K43" s="223">
        <v>6.5</v>
      </c>
      <c r="L43" s="230">
        <f t="shared" si="4"/>
        <v>0.79166666666666663</v>
      </c>
      <c r="M43" s="230">
        <f t="shared" si="5"/>
        <v>1.1666666666666667</v>
      </c>
      <c r="N43" s="230">
        <f t="shared" si="6"/>
        <v>1</v>
      </c>
      <c r="O43" s="230">
        <f t="shared" si="7"/>
        <v>1.0833333333333333</v>
      </c>
      <c r="P43" s="230">
        <f t="shared" si="8"/>
        <v>0.58333333333333337</v>
      </c>
      <c r="Q43" s="230">
        <f t="shared" si="9"/>
        <v>1.0833333333333333</v>
      </c>
      <c r="R43" s="230">
        <f t="shared" si="10"/>
        <v>1.0833333333333333</v>
      </c>
    </row>
    <row r="44" spans="2:18" x14ac:dyDescent="0.15">
      <c r="B44" t="s">
        <v>406</v>
      </c>
      <c r="C44" s="2">
        <v>6.5</v>
      </c>
      <c r="D44" s="224">
        <f t="shared" si="1"/>
        <v>1.0833333333333333</v>
      </c>
      <c r="E44" s="223">
        <v>4.75</v>
      </c>
      <c r="F44" s="223">
        <v>7</v>
      </c>
      <c r="G44" s="223">
        <v>6</v>
      </c>
      <c r="H44" s="223">
        <v>6.5</v>
      </c>
      <c r="I44" s="223">
        <v>3.5</v>
      </c>
      <c r="J44" s="223">
        <v>6.5</v>
      </c>
      <c r="K44" s="223">
        <v>6.5</v>
      </c>
      <c r="L44" s="230">
        <f t="shared" ref="L44:R44" si="12">E44/6</f>
        <v>0.79166666666666663</v>
      </c>
      <c r="M44" s="230">
        <f t="shared" si="12"/>
        <v>1.1666666666666667</v>
      </c>
      <c r="N44" s="230">
        <f t="shared" si="12"/>
        <v>1</v>
      </c>
      <c r="O44" s="230">
        <f t="shared" si="12"/>
        <v>1.0833333333333333</v>
      </c>
      <c r="P44" s="230">
        <f t="shared" si="12"/>
        <v>0.58333333333333337</v>
      </c>
      <c r="Q44" s="230">
        <f t="shared" si="12"/>
        <v>1.0833333333333333</v>
      </c>
      <c r="R44" s="230">
        <f t="shared" si="12"/>
        <v>1.0833333333333333</v>
      </c>
    </row>
    <row r="45" spans="2:18" x14ac:dyDescent="0.15">
      <c r="B45" t="s">
        <v>28</v>
      </c>
      <c r="C45" s="2">
        <v>8</v>
      </c>
      <c r="D45" s="224">
        <f t="shared" si="1"/>
        <v>1.3333333333333333</v>
      </c>
      <c r="E45" s="223">
        <v>8</v>
      </c>
      <c r="F45" s="223">
        <v>8</v>
      </c>
      <c r="G45" s="223">
        <v>8</v>
      </c>
      <c r="H45" s="223">
        <v>8</v>
      </c>
      <c r="I45" s="223">
        <v>4</v>
      </c>
      <c r="J45" s="223">
        <v>8</v>
      </c>
      <c r="K45" s="223">
        <v>8</v>
      </c>
      <c r="L45" s="230">
        <f t="shared" si="4"/>
        <v>1.3333333333333333</v>
      </c>
      <c r="M45" s="230">
        <f t="shared" si="5"/>
        <v>1.3333333333333333</v>
      </c>
      <c r="N45" s="230">
        <f t="shared" si="6"/>
        <v>1.3333333333333333</v>
      </c>
      <c r="O45" s="230">
        <f t="shared" si="7"/>
        <v>1.3333333333333333</v>
      </c>
      <c r="P45" s="230">
        <f t="shared" si="8"/>
        <v>0.66666666666666663</v>
      </c>
      <c r="Q45" s="230">
        <f t="shared" si="9"/>
        <v>1.3333333333333333</v>
      </c>
      <c r="R45" s="230">
        <f t="shared" si="10"/>
        <v>1.3333333333333333</v>
      </c>
    </row>
    <row r="46" spans="2:18" x14ac:dyDescent="0.15">
      <c r="B46" t="s">
        <v>27</v>
      </c>
      <c r="C46" s="2">
        <v>7.5</v>
      </c>
      <c r="D46" s="224">
        <f t="shared" si="1"/>
        <v>1.25</v>
      </c>
      <c r="E46" s="223">
        <v>7.5</v>
      </c>
      <c r="F46" s="223">
        <v>7.5</v>
      </c>
      <c r="G46" s="223">
        <v>8</v>
      </c>
      <c r="H46" s="223">
        <v>8</v>
      </c>
      <c r="I46" s="223">
        <v>5.5</v>
      </c>
      <c r="J46" s="223">
        <v>7.5</v>
      </c>
      <c r="K46" s="223">
        <v>7.5</v>
      </c>
      <c r="L46" s="230">
        <f t="shared" si="4"/>
        <v>1.25</v>
      </c>
      <c r="M46" s="230">
        <f t="shared" si="5"/>
        <v>1.25</v>
      </c>
      <c r="N46" s="230">
        <f t="shared" si="6"/>
        <v>1.3333333333333333</v>
      </c>
      <c r="O46" s="230">
        <f t="shared" si="7"/>
        <v>1.3333333333333333</v>
      </c>
      <c r="P46" s="230">
        <f t="shared" si="8"/>
        <v>0.91666666666666663</v>
      </c>
      <c r="Q46" s="230">
        <f t="shared" si="9"/>
        <v>1.25</v>
      </c>
      <c r="R46" s="230">
        <f t="shared" si="10"/>
        <v>1.25</v>
      </c>
    </row>
    <row r="47" spans="2:18" x14ac:dyDescent="0.15">
      <c r="B47" t="s">
        <v>33</v>
      </c>
      <c r="C47" s="2">
        <v>13.5</v>
      </c>
      <c r="D47" s="224">
        <f t="shared" si="1"/>
        <v>2.25</v>
      </c>
      <c r="E47" s="223">
        <v>13</v>
      </c>
      <c r="F47" s="223">
        <v>9</v>
      </c>
      <c r="G47" s="223">
        <v>14</v>
      </c>
      <c r="H47" s="223">
        <v>13</v>
      </c>
      <c r="I47" s="223">
        <v>13</v>
      </c>
      <c r="J47" s="223">
        <v>13</v>
      </c>
      <c r="K47" s="223">
        <v>8</v>
      </c>
      <c r="L47" s="230">
        <f t="shared" si="4"/>
        <v>2.1666666666666665</v>
      </c>
      <c r="M47" s="230">
        <f t="shared" si="5"/>
        <v>1.5</v>
      </c>
      <c r="N47" s="230">
        <f t="shared" si="6"/>
        <v>2.3333333333333335</v>
      </c>
      <c r="O47" s="230">
        <f t="shared" si="7"/>
        <v>2.1666666666666665</v>
      </c>
      <c r="P47" s="230">
        <f t="shared" si="8"/>
        <v>2.1666666666666665</v>
      </c>
      <c r="Q47" s="230">
        <f t="shared" si="9"/>
        <v>2.1666666666666665</v>
      </c>
      <c r="R47" s="230">
        <f t="shared" si="10"/>
        <v>1.3333333333333333</v>
      </c>
    </row>
    <row r="48" spans="2:18" x14ac:dyDescent="0.15">
      <c r="B48" t="s">
        <v>407</v>
      </c>
      <c r="C48" s="2">
        <v>6.25</v>
      </c>
      <c r="D48" s="224">
        <f t="shared" si="1"/>
        <v>1.0416666666666667</v>
      </c>
      <c r="E48" s="223">
        <v>4.5</v>
      </c>
      <c r="F48" s="223">
        <v>8</v>
      </c>
      <c r="G48" s="223">
        <v>6</v>
      </c>
      <c r="H48" s="223">
        <v>6</v>
      </c>
      <c r="I48" s="223">
        <v>5.5</v>
      </c>
      <c r="J48" s="223">
        <v>6</v>
      </c>
      <c r="K48" s="223">
        <v>6</v>
      </c>
      <c r="L48" s="230">
        <f t="shared" ref="L48:R48" si="13">E48/6</f>
        <v>0.75</v>
      </c>
      <c r="M48" s="230">
        <f t="shared" si="13"/>
        <v>1.3333333333333333</v>
      </c>
      <c r="N48" s="230">
        <f t="shared" si="13"/>
        <v>1</v>
      </c>
      <c r="O48" s="230">
        <f t="shared" si="13"/>
        <v>1</v>
      </c>
      <c r="P48" s="230">
        <f t="shared" si="13"/>
        <v>0.91666666666666663</v>
      </c>
      <c r="Q48" s="230">
        <f t="shared" si="13"/>
        <v>1</v>
      </c>
      <c r="R48" s="230">
        <f t="shared" si="13"/>
        <v>1</v>
      </c>
    </row>
    <row r="49" spans="2:18" x14ac:dyDescent="0.15">
      <c r="B49" t="s">
        <v>408</v>
      </c>
      <c r="C49" s="2">
        <v>6.25</v>
      </c>
      <c r="D49" s="224">
        <f t="shared" si="1"/>
        <v>1.0416666666666667</v>
      </c>
      <c r="E49" s="223">
        <v>4.5</v>
      </c>
      <c r="F49" s="223">
        <v>8</v>
      </c>
      <c r="G49" s="223">
        <v>6</v>
      </c>
      <c r="H49" s="223">
        <v>6</v>
      </c>
      <c r="I49" s="223">
        <v>5.5</v>
      </c>
      <c r="J49" s="223">
        <v>6</v>
      </c>
      <c r="K49" s="223">
        <v>6</v>
      </c>
      <c r="L49" s="230">
        <f t="shared" si="4"/>
        <v>0.75</v>
      </c>
      <c r="M49" s="230">
        <f t="shared" si="5"/>
        <v>1.3333333333333333</v>
      </c>
      <c r="N49" s="230">
        <f t="shared" si="6"/>
        <v>1</v>
      </c>
      <c r="O49" s="230">
        <f t="shared" si="7"/>
        <v>1</v>
      </c>
      <c r="P49" s="230">
        <f t="shared" si="8"/>
        <v>0.91666666666666663</v>
      </c>
      <c r="Q49" s="230">
        <f t="shared" si="9"/>
        <v>1</v>
      </c>
      <c r="R49" s="230">
        <f t="shared" si="10"/>
        <v>1</v>
      </c>
    </row>
    <row r="50" spans="2:18" x14ac:dyDescent="0.15">
      <c r="B50" t="s">
        <v>409</v>
      </c>
      <c r="C50" s="2">
        <v>7</v>
      </c>
      <c r="D50" s="224">
        <f t="shared" si="1"/>
        <v>1.1666666666666667</v>
      </c>
      <c r="E50" s="223">
        <v>5.5</v>
      </c>
      <c r="F50" s="223">
        <v>8</v>
      </c>
      <c r="G50" s="223">
        <v>6.75</v>
      </c>
      <c r="H50" s="223">
        <v>7</v>
      </c>
      <c r="I50" s="223">
        <v>7</v>
      </c>
      <c r="J50" s="223">
        <v>7</v>
      </c>
      <c r="K50" s="223">
        <v>7</v>
      </c>
      <c r="L50" s="230">
        <f t="shared" si="4"/>
        <v>0.91666666666666663</v>
      </c>
      <c r="M50" s="230">
        <f t="shared" si="5"/>
        <v>1.3333333333333333</v>
      </c>
      <c r="N50" s="230">
        <f t="shared" si="6"/>
        <v>1.125</v>
      </c>
      <c r="O50" s="230">
        <f t="shared" si="7"/>
        <v>1.1666666666666667</v>
      </c>
      <c r="P50" s="230">
        <f t="shared" si="8"/>
        <v>1.1666666666666667</v>
      </c>
      <c r="Q50" s="230">
        <f t="shared" si="9"/>
        <v>1.1666666666666667</v>
      </c>
      <c r="R50" s="230">
        <f t="shared" si="10"/>
        <v>1.1666666666666667</v>
      </c>
    </row>
    <row r="51" spans="2:18" x14ac:dyDescent="0.15">
      <c r="B51" t="s">
        <v>410</v>
      </c>
      <c r="C51" s="2">
        <v>7</v>
      </c>
      <c r="D51" s="224">
        <f t="shared" si="1"/>
        <v>1.1666666666666667</v>
      </c>
      <c r="E51" s="223">
        <v>5.5</v>
      </c>
      <c r="F51" s="223">
        <v>8</v>
      </c>
      <c r="G51" s="223">
        <v>6.75</v>
      </c>
      <c r="H51" s="223">
        <v>7</v>
      </c>
      <c r="I51" s="223">
        <v>7</v>
      </c>
      <c r="J51" s="223">
        <v>7</v>
      </c>
      <c r="K51" s="223">
        <v>7</v>
      </c>
      <c r="L51" s="230">
        <f t="shared" ref="L51:R51" si="14">E51/6</f>
        <v>0.91666666666666663</v>
      </c>
      <c r="M51" s="230">
        <f t="shared" si="14"/>
        <v>1.3333333333333333</v>
      </c>
      <c r="N51" s="230">
        <f t="shared" si="14"/>
        <v>1.125</v>
      </c>
      <c r="O51" s="230">
        <f t="shared" si="14"/>
        <v>1.1666666666666667</v>
      </c>
      <c r="P51" s="230">
        <f t="shared" si="14"/>
        <v>1.1666666666666667</v>
      </c>
      <c r="Q51" s="230">
        <f t="shared" si="14"/>
        <v>1.1666666666666667</v>
      </c>
      <c r="R51" s="230">
        <f t="shared" si="14"/>
        <v>1.1666666666666667</v>
      </c>
    </row>
    <row r="52" spans="2:18" x14ac:dyDescent="0.15">
      <c r="B52" t="s">
        <v>30</v>
      </c>
      <c r="C52" s="2">
        <v>9</v>
      </c>
      <c r="D52" s="224">
        <f t="shared" si="1"/>
        <v>1.5</v>
      </c>
      <c r="E52" s="223">
        <v>9</v>
      </c>
      <c r="F52" s="223">
        <v>9</v>
      </c>
      <c r="G52" s="223">
        <v>9</v>
      </c>
      <c r="H52" s="223">
        <v>99</v>
      </c>
      <c r="I52" s="223">
        <v>5</v>
      </c>
      <c r="J52" s="223">
        <v>9</v>
      </c>
      <c r="K52" s="223">
        <v>9</v>
      </c>
      <c r="L52" s="230">
        <f t="shared" si="4"/>
        <v>1.5</v>
      </c>
      <c r="M52" s="230">
        <f t="shared" si="5"/>
        <v>1.5</v>
      </c>
      <c r="N52" s="230">
        <f t="shared" si="6"/>
        <v>1.5</v>
      </c>
      <c r="O52" s="230">
        <f t="shared" si="7"/>
        <v>16.5</v>
      </c>
      <c r="P52" s="230">
        <f t="shared" si="8"/>
        <v>0.83333333333333337</v>
      </c>
      <c r="Q52" s="230">
        <f t="shared" si="9"/>
        <v>1.5</v>
      </c>
      <c r="R52" s="230">
        <f t="shared" si="10"/>
        <v>1.5</v>
      </c>
    </row>
  </sheetData>
  <phoneticPr fontId="2" type="noConversion"/>
  <pageMargins left="0.75" right="0.75" top="1" bottom="1" header="0.5" footer="0.5"/>
  <pageSetup paperSize="5" scale="105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pageSetUpPr fitToPage="1"/>
  </sheetPr>
  <dimension ref="B1:AH86"/>
  <sheetViews>
    <sheetView workbookViewId="0">
      <pane xSplit="17" ySplit="5" topLeftCell="R6" activePane="bottomRight" state="frozen"/>
      <selection activeCell="Y88" sqref="Y88"/>
      <selection pane="topRight" activeCell="Y88" sqref="Y88"/>
      <selection pane="bottomLeft" activeCell="Y88" sqref="Y88"/>
      <selection pane="bottomRight" activeCell="Y88" sqref="Y88"/>
    </sheetView>
  </sheetViews>
  <sheetFormatPr baseColWidth="10" defaultColWidth="8.83203125" defaultRowHeight="13" x14ac:dyDescent="0.15"/>
  <cols>
    <col min="1" max="1" customWidth="true" width="3.6640625" collapsed="true"/>
    <col min="2" max="14" customWidth="true" width="1.6640625" collapsed="true"/>
    <col min="16" max="16" customWidth="true" width="6.6640625" collapsed="true"/>
    <col min="17" max="18" customWidth="true" width="8.6640625" collapsed="true"/>
    <col min="19" max="19" customWidth="true" width="11.6640625" collapsed="true"/>
    <col min="20" max="30" customWidth="true" width="9.6640625" collapsed="true"/>
  </cols>
  <sheetData>
    <row r="1" spans="2:34" x14ac:dyDescent="0.15">
      <c r="Y1" s="23"/>
    </row>
    <row r="2" spans="2:34" ht="14" thickBot="1" x14ac:dyDescent="0.2"/>
    <row r="3" spans="2:34" x14ac:dyDescent="0.15">
      <c r="B3" s="11"/>
      <c r="C3" s="12"/>
      <c r="D3" s="99" t="s">
        <v>210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13"/>
      <c r="P3" s="100"/>
      <c r="R3" s="1"/>
    </row>
    <row r="4" spans="2:34" x14ac:dyDescent="0.15">
      <c r="B4" s="14"/>
      <c r="C4" s="15"/>
      <c r="D4" s="95" t="s">
        <v>205</v>
      </c>
      <c r="E4" s="15"/>
      <c r="F4" s="15"/>
      <c r="G4" s="15"/>
      <c r="H4" s="15"/>
      <c r="I4" s="15"/>
      <c r="J4" s="15"/>
      <c r="K4" s="15"/>
      <c r="L4" s="15"/>
      <c r="M4" s="15"/>
      <c r="N4" s="15"/>
      <c r="O4" s="16"/>
      <c r="P4" s="101"/>
      <c r="Q4" s="1">
        <v>1</v>
      </c>
      <c r="R4" s="1">
        <f>Q4+1</f>
        <v>2</v>
      </c>
      <c r="S4" s="1">
        <f>R4+1</f>
        <v>3</v>
      </c>
      <c r="T4" s="1">
        <f t="shared" ref="T4:AD4" si="0">S4+1</f>
        <v>4</v>
      </c>
      <c r="U4" s="1">
        <f t="shared" si="0"/>
        <v>5</v>
      </c>
      <c r="V4" s="1">
        <f t="shared" si="0"/>
        <v>6</v>
      </c>
      <c r="W4" s="1">
        <f t="shared" si="0"/>
        <v>7</v>
      </c>
      <c r="X4" s="1">
        <f t="shared" si="0"/>
        <v>8</v>
      </c>
      <c r="Y4" s="1">
        <f t="shared" si="0"/>
        <v>9</v>
      </c>
      <c r="Z4" s="1">
        <f t="shared" si="0"/>
        <v>10</v>
      </c>
      <c r="AA4" s="1">
        <f t="shared" si="0"/>
        <v>11</v>
      </c>
      <c r="AB4" s="1">
        <f t="shared" si="0"/>
        <v>12</v>
      </c>
      <c r="AC4" s="1">
        <f t="shared" si="0"/>
        <v>13</v>
      </c>
      <c r="AD4" s="1">
        <f t="shared" si="0"/>
        <v>14</v>
      </c>
    </row>
    <row r="5" spans="2:34" ht="101" x14ac:dyDescent="0.15">
      <c r="B5" s="590" t="s">
        <v>120</v>
      </c>
      <c r="C5" s="591"/>
      <c r="D5" s="591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17" t="s">
        <v>98</v>
      </c>
      <c r="P5" s="102" t="s">
        <v>211</v>
      </c>
      <c r="Q5" s="4" t="s">
        <v>121</v>
      </c>
      <c r="R5" s="4" t="s">
        <v>113</v>
      </c>
      <c r="S5" s="4" t="s">
        <v>119</v>
      </c>
      <c r="T5" s="4" t="s">
        <v>117</v>
      </c>
      <c r="U5" s="4" t="s">
        <v>118</v>
      </c>
      <c r="V5" s="4" t="s">
        <v>116</v>
      </c>
      <c r="W5" s="87" t="s">
        <v>114</v>
      </c>
      <c r="X5" s="8" t="s">
        <v>220</v>
      </c>
      <c r="Y5" s="8" t="s">
        <v>221</v>
      </c>
      <c r="Z5" s="8" t="s">
        <v>222</v>
      </c>
      <c r="AA5" s="22" t="s">
        <v>223</v>
      </c>
      <c r="AB5" s="22" t="s">
        <v>224</v>
      </c>
      <c r="AC5" s="22" t="s">
        <v>225</v>
      </c>
      <c r="AD5" s="85" t="s">
        <v>115</v>
      </c>
      <c r="AF5" s="4" t="s">
        <v>212</v>
      </c>
      <c r="AG5" s="4" t="s">
        <v>213</v>
      </c>
      <c r="AH5" s="4" t="s">
        <v>214</v>
      </c>
    </row>
    <row r="6" spans="2:34" x14ac:dyDescent="0.15">
      <c r="B6" s="26" t="s">
        <v>130</v>
      </c>
      <c r="C6" s="27"/>
      <c r="D6" s="27"/>
      <c r="E6" s="27" t="s">
        <v>130</v>
      </c>
      <c r="F6" s="27"/>
      <c r="G6" s="27"/>
      <c r="H6" s="27" t="s">
        <v>130</v>
      </c>
      <c r="I6" s="27"/>
      <c r="J6" s="27"/>
      <c r="K6" s="27" t="s">
        <v>130</v>
      </c>
      <c r="L6" s="27"/>
      <c r="M6" s="27"/>
      <c r="N6" s="27" t="s">
        <v>130</v>
      </c>
      <c r="O6" s="19">
        <f>COUNTA(B6:N10)</f>
        <v>28</v>
      </c>
      <c r="P6" s="103">
        <v>86</v>
      </c>
      <c r="Q6" s="1" t="str">
        <f>CONCATENATE(R6,S6)</f>
        <v>23</v>
      </c>
      <c r="R6" s="7">
        <v>2</v>
      </c>
      <c r="S6" s="96">
        <v>3</v>
      </c>
      <c r="T6" s="96">
        <v>1</v>
      </c>
      <c r="U6" s="96">
        <v>2</v>
      </c>
      <c r="V6" s="7">
        <f t="shared" ref="V6:V21" si="1">R6*S6</f>
        <v>6</v>
      </c>
      <c r="W6" s="88">
        <v>5</v>
      </c>
      <c r="X6" s="97">
        <v>1</v>
      </c>
      <c r="Y6" s="97">
        <v>1</v>
      </c>
      <c r="Z6" s="97">
        <v>0</v>
      </c>
      <c r="AA6" s="86">
        <v>4</v>
      </c>
      <c r="AB6" s="86">
        <v>0</v>
      </c>
      <c r="AC6" s="86">
        <v>4</v>
      </c>
      <c r="AD6" s="98">
        <f>Y6+AB6</f>
        <v>1</v>
      </c>
      <c r="AF6" s="39">
        <f>W6-X6-AA6</f>
        <v>0</v>
      </c>
      <c r="AG6" s="39">
        <f>X6-Y6-Z6</f>
        <v>0</v>
      </c>
      <c r="AH6" s="39">
        <f>AA6-AB6-AC6</f>
        <v>0</v>
      </c>
    </row>
    <row r="7" spans="2:34" x14ac:dyDescent="0.15">
      <c r="B7" s="84" t="s">
        <v>204</v>
      </c>
      <c r="C7" s="24"/>
      <c r="D7" s="24"/>
      <c r="E7" s="24" t="s">
        <v>204</v>
      </c>
      <c r="F7" s="24"/>
      <c r="G7" s="24"/>
      <c r="H7" s="24" t="s">
        <v>204</v>
      </c>
      <c r="I7" s="24"/>
      <c r="J7" s="24"/>
      <c r="K7" s="24" t="s">
        <v>204</v>
      </c>
      <c r="L7" s="24"/>
      <c r="M7" s="24"/>
      <c r="N7" s="24" t="s">
        <v>130</v>
      </c>
      <c r="O7" s="18"/>
      <c r="P7" s="101"/>
      <c r="Q7" s="1" t="str">
        <f t="shared" ref="Q7:Q21" si="2">CONCATENATE(R7,S7)</f>
        <v>24</v>
      </c>
      <c r="R7" s="7">
        <v>2</v>
      </c>
      <c r="S7" s="96">
        <v>4</v>
      </c>
      <c r="T7" s="96">
        <v>2</v>
      </c>
      <c r="U7" s="96">
        <v>2</v>
      </c>
      <c r="V7" s="7">
        <f t="shared" si="1"/>
        <v>8</v>
      </c>
      <c r="W7" s="88">
        <v>6</v>
      </c>
      <c r="X7" s="97">
        <v>2</v>
      </c>
      <c r="Y7" s="97">
        <v>2</v>
      </c>
      <c r="Z7" s="97">
        <v>0</v>
      </c>
      <c r="AA7" s="86">
        <v>4</v>
      </c>
      <c r="AB7" s="86">
        <v>0</v>
      </c>
      <c r="AC7" s="86">
        <v>4</v>
      </c>
      <c r="AD7" s="98">
        <f>Y7+AB7</f>
        <v>2</v>
      </c>
      <c r="AF7" s="39">
        <f>W7-X7-AA7</f>
        <v>0</v>
      </c>
      <c r="AG7" s="39">
        <f t="shared" ref="AG7:AG21" si="3">X7-Y7-Z7</f>
        <v>0</v>
      </c>
      <c r="AH7" s="39">
        <f t="shared" ref="AH7:AH21" si="4">AA7-AB7-AC7</f>
        <v>0</v>
      </c>
    </row>
    <row r="8" spans="2:34" x14ac:dyDescent="0.15">
      <c r="B8" s="28"/>
      <c r="C8" s="24" t="s">
        <v>204</v>
      </c>
      <c r="D8" s="24" t="s">
        <v>204</v>
      </c>
      <c r="E8" s="24"/>
      <c r="F8" s="24" t="s">
        <v>204</v>
      </c>
      <c r="G8" s="24" t="s">
        <v>204</v>
      </c>
      <c r="H8" s="24"/>
      <c r="I8" s="24" t="s">
        <v>204</v>
      </c>
      <c r="J8" s="24" t="s">
        <v>204</v>
      </c>
      <c r="K8" s="24"/>
      <c r="L8" s="24" t="s">
        <v>204</v>
      </c>
      <c r="M8" s="24" t="s">
        <v>204</v>
      </c>
      <c r="N8" s="24"/>
      <c r="O8" s="94">
        <v>16</v>
      </c>
      <c r="P8" s="101"/>
      <c r="Q8" s="1" t="str">
        <f t="shared" si="2"/>
        <v>25</v>
      </c>
      <c r="R8" s="7">
        <v>2</v>
      </c>
      <c r="S8" s="96">
        <v>5</v>
      </c>
      <c r="T8" s="96">
        <v>1</v>
      </c>
      <c r="U8" s="96">
        <v>4</v>
      </c>
      <c r="V8" s="7">
        <f t="shared" si="1"/>
        <v>10</v>
      </c>
      <c r="W8" s="88">
        <v>9</v>
      </c>
      <c r="X8" s="97">
        <v>3</v>
      </c>
      <c r="Y8" s="97">
        <v>1</v>
      </c>
      <c r="Z8" s="97">
        <v>2</v>
      </c>
      <c r="AA8" s="86">
        <v>6</v>
      </c>
      <c r="AB8" s="86">
        <v>0</v>
      </c>
      <c r="AC8" s="86">
        <v>6</v>
      </c>
      <c r="AD8" s="98">
        <f>Y8+AB8</f>
        <v>1</v>
      </c>
      <c r="AF8" s="39">
        <f>W8-X8-AA8</f>
        <v>0</v>
      </c>
      <c r="AG8" s="39">
        <f t="shared" si="3"/>
        <v>0</v>
      </c>
      <c r="AH8" s="39">
        <f t="shared" si="4"/>
        <v>0</v>
      </c>
    </row>
    <row r="9" spans="2:34" x14ac:dyDescent="0.15">
      <c r="B9" s="26" t="s">
        <v>204</v>
      </c>
      <c r="C9" s="24"/>
      <c r="D9" s="24"/>
      <c r="E9" s="24" t="s">
        <v>204</v>
      </c>
      <c r="F9" s="24"/>
      <c r="G9" s="24"/>
      <c r="H9" s="24" t="s">
        <v>204</v>
      </c>
      <c r="I9" s="24"/>
      <c r="J9" s="24"/>
      <c r="K9" s="24" t="s">
        <v>204</v>
      </c>
      <c r="L9" s="24"/>
      <c r="M9" s="24"/>
      <c r="N9" s="24" t="s">
        <v>130</v>
      </c>
      <c r="O9" s="20"/>
      <c r="P9" s="101"/>
      <c r="Q9" s="1" t="str">
        <f t="shared" si="2"/>
        <v>26</v>
      </c>
      <c r="R9" s="7">
        <v>2</v>
      </c>
      <c r="S9" s="96">
        <v>6</v>
      </c>
      <c r="T9" s="96">
        <v>2</v>
      </c>
      <c r="U9" s="96">
        <v>4</v>
      </c>
      <c r="V9" s="7">
        <f t="shared" si="1"/>
        <v>12</v>
      </c>
      <c r="W9" s="88">
        <v>10</v>
      </c>
      <c r="X9" s="97">
        <v>4</v>
      </c>
      <c r="Y9" s="97">
        <v>2</v>
      </c>
      <c r="Z9" s="97">
        <v>2</v>
      </c>
      <c r="AA9" s="86">
        <v>6</v>
      </c>
      <c r="AB9" s="86">
        <v>0</v>
      </c>
      <c r="AC9" s="86">
        <v>6</v>
      </c>
      <c r="AD9" s="98">
        <f t="shared" ref="AD9:AD21" si="5">Y9+AB9</f>
        <v>2</v>
      </c>
      <c r="AF9" s="39">
        <f>W9-X9-AA9</f>
        <v>0</v>
      </c>
      <c r="AG9" s="39">
        <f t="shared" si="3"/>
        <v>0</v>
      </c>
      <c r="AH9" s="39">
        <f t="shared" si="4"/>
        <v>0</v>
      </c>
    </row>
    <row r="10" spans="2:34" x14ac:dyDescent="0.15">
      <c r="B10" s="26" t="s">
        <v>130</v>
      </c>
      <c r="C10" s="27"/>
      <c r="D10" s="27"/>
      <c r="E10" s="27" t="s">
        <v>130</v>
      </c>
      <c r="F10" s="27"/>
      <c r="G10" s="27"/>
      <c r="H10" s="27" t="s">
        <v>130</v>
      </c>
      <c r="I10" s="27"/>
      <c r="J10" s="27"/>
      <c r="K10" s="27" t="s">
        <v>130</v>
      </c>
      <c r="L10" s="27"/>
      <c r="M10" s="27"/>
      <c r="N10" s="27" t="s">
        <v>130</v>
      </c>
      <c r="O10" s="25"/>
      <c r="P10" s="101"/>
      <c r="Q10" s="1" t="str">
        <f t="shared" si="2"/>
        <v>43</v>
      </c>
      <c r="R10" s="7">
        <v>4</v>
      </c>
      <c r="S10" s="96">
        <v>3</v>
      </c>
      <c r="T10" s="96">
        <v>1</v>
      </c>
      <c r="U10" s="96">
        <v>2</v>
      </c>
      <c r="V10" s="7">
        <f t="shared" si="1"/>
        <v>12</v>
      </c>
      <c r="W10" s="88">
        <v>8</v>
      </c>
      <c r="X10" s="97">
        <v>2</v>
      </c>
      <c r="Y10" s="97">
        <v>2</v>
      </c>
      <c r="Z10" s="97">
        <v>0</v>
      </c>
      <c r="AA10" s="86">
        <v>6</v>
      </c>
      <c r="AB10" s="86">
        <v>2</v>
      </c>
      <c r="AC10" s="86">
        <v>4</v>
      </c>
      <c r="AD10" s="98">
        <f t="shared" si="5"/>
        <v>4</v>
      </c>
      <c r="AF10" s="39">
        <f t="shared" ref="AF10:AF21" si="6">W10-X10-AA10</f>
        <v>0</v>
      </c>
      <c r="AG10" s="39">
        <f t="shared" si="3"/>
        <v>0</v>
      </c>
      <c r="AH10" s="39">
        <f t="shared" si="4"/>
        <v>0</v>
      </c>
    </row>
    <row r="11" spans="2:34" x14ac:dyDescent="0.15">
      <c r="B11" s="29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18"/>
      <c r="P11" s="101"/>
      <c r="Q11" s="1" t="str">
        <f t="shared" si="2"/>
        <v>44</v>
      </c>
      <c r="R11" s="7">
        <v>4</v>
      </c>
      <c r="S11" s="96">
        <v>4</v>
      </c>
      <c r="T11" s="96">
        <v>2</v>
      </c>
      <c r="U11" s="96">
        <v>2</v>
      </c>
      <c r="V11" s="7">
        <f t="shared" si="1"/>
        <v>16</v>
      </c>
      <c r="W11" s="88">
        <v>10</v>
      </c>
      <c r="X11" s="97">
        <v>4</v>
      </c>
      <c r="Y11" s="97">
        <v>4</v>
      </c>
      <c r="Z11" s="97">
        <v>0</v>
      </c>
      <c r="AA11" s="86">
        <v>6</v>
      </c>
      <c r="AB11" s="86">
        <v>2</v>
      </c>
      <c r="AC11" s="86">
        <v>4</v>
      </c>
      <c r="AD11" s="98">
        <f t="shared" si="5"/>
        <v>6</v>
      </c>
      <c r="AF11" s="39">
        <f t="shared" si="6"/>
        <v>0</v>
      </c>
      <c r="AG11" s="39">
        <f t="shared" si="3"/>
        <v>0</v>
      </c>
      <c r="AH11" s="39">
        <f t="shared" si="4"/>
        <v>0</v>
      </c>
    </row>
    <row r="12" spans="2:34" x14ac:dyDescent="0.15">
      <c r="B12" s="26" t="s">
        <v>130</v>
      </c>
      <c r="C12" s="27"/>
      <c r="D12" s="27"/>
      <c r="E12" s="27" t="s">
        <v>130</v>
      </c>
      <c r="F12" s="27"/>
      <c r="G12" s="27"/>
      <c r="H12" s="27" t="s">
        <v>130</v>
      </c>
      <c r="I12" s="27"/>
      <c r="J12" s="27"/>
      <c r="K12" s="27" t="s">
        <v>130</v>
      </c>
      <c r="L12" s="31"/>
      <c r="M12" s="31"/>
      <c r="N12" s="31"/>
      <c r="O12" s="19">
        <f>COUNTA(B12:N16)</f>
        <v>22</v>
      </c>
      <c r="P12" s="103">
        <v>66</v>
      </c>
      <c r="Q12" s="1" t="str">
        <f t="shared" si="2"/>
        <v>45</v>
      </c>
      <c r="R12" s="7">
        <v>4</v>
      </c>
      <c r="S12" s="96">
        <v>5</v>
      </c>
      <c r="T12" s="96">
        <v>1</v>
      </c>
      <c r="U12" s="96">
        <v>4</v>
      </c>
      <c r="V12" s="7">
        <f t="shared" si="1"/>
        <v>20</v>
      </c>
      <c r="W12" s="88">
        <v>14</v>
      </c>
      <c r="X12" s="97">
        <v>6</v>
      </c>
      <c r="Y12" s="97">
        <v>4</v>
      </c>
      <c r="Z12" s="97">
        <v>2</v>
      </c>
      <c r="AA12" s="86">
        <v>8</v>
      </c>
      <c r="AB12" s="86">
        <v>2</v>
      </c>
      <c r="AC12" s="86">
        <v>6</v>
      </c>
      <c r="AD12" s="98">
        <f t="shared" si="5"/>
        <v>6</v>
      </c>
      <c r="AF12" s="39">
        <f t="shared" si="6"/>
        <v>0</v>
      </c>
      <c r="AG12" s="39">
        <f t="shared" si="3"/>
        <v>0</v>
      </c>
      <c r="AH12" s="39">
        <f t="shared" si="4"/>
        <v>0</v>
      </c>
    </row>
    <row r="13" spans="2:34" x14ac:dyDescent="0.15">
      <c r="B13" s="84" t="s">
        <v>204</v>
      </c>
      <c r="C13" s="24"/>
      <c r="D13" s="24"/>
      <c r="E13" s="24" t="s">
        <v>204</v>
      </c>
      <c r="F13" s="24"/>
      <c r="G13" s="24"/>
      <c r="H13" s="24" t="s">
        <v>204</v>
      </c>
      <c r="I13" s="24"/>
      <c r="J13" s="24"/>
      <c r="K13" s="24" t="s">
        <v>130</v>
      </c>
      <c r="L13" s="32"/>
      <c r="M13" s="32"/>
      <c r="N13" s="32"/>
      <c r="O13" s="18"/>
      <c r="P13" s="101"/>
      <c r="Q13" s="1" t="str">
        <f t="shared" si="2"/>
        <v>46</v>
      </c>
      <c r="R13" s="7">
        <v>4</v>
      </c>
      <c r="S13" s="96">
        <v>6</v>
      </c>
      <c r="T13" s="96">
        <v>2</v>
      </c>
      <c r="U13" s="96">
        <v>4</v>
      </c>
      <c r="V13" s="7">
        <f t="shared" si="1"/>
        <v>24</v>
      </c>
      <c r="W13" s="88">
        <v>16</v>
      </c>
      <c r="X13" s="97">
        <v>8</v>
      </c>
      <c r="Y13" s="97">
        <v>6</v>
      </c>
      <c r="Z13" s="97">
        <v>2</v>
      </c>
      <c r="AA13" s="86">
        <v>8</v>
      </c>
      <c r="AB13" s="86">
        <v>2</v>
      </c>
      <c r="AC13" s="86">
        <v>6</v>
      </c>
      <c r="AD13" s="98">
        <f t="shared" si="5"/>
        <v>8</v>
      </c>
      <c r="AF13" s="39">
        <f t="shared" si="6"/>
        <v>0</v>
      </c>
      <c r="AG13" s="39">
        <f t="shared" si="3"/>
        <v>0</v>
      </c>
      <c r="AH13" s="39">
        <f t="shared" si="4"/>
        <v>0</v>
      </c>
    </row>
    <row r="14" spans="2:34" x14ac:dyDescent="0.15">
      <c r="B14" s="28"/>
      <c r="C14" s="24" t="s">
        <v>204</v>
      </c>
      <c r="D14" s="24" t="s">
        <v>204</v>
      </c>
      <c r="E14" s="24"/>
      <c r="F14" s="24" t="s">
        <v>204</v>
      </c>
      <c r="G14" s="24" t="s">
        <v>204</v>
      </c>
      <c r="H14" s="24"/>
      <c r="I14" s="24" t="s">
        <v>204</v>
      </c>
      <c r="J14" s="24" t="s">
        <v>204</v>
      </c>
      <c r="K14" s="24"/>
      <c r="L14" s="32"/>
      <c r="M14" s="32"/>
      <c r="N14" s="32"/>
      <c r="O14" s="94">
        <v>12</v>
      </c>
      <c r="P14" s="101"/>
      <c r="Q14" s="1" t="str">
        <f t="shared" si="2"/>
        <v>63</v>
      </c>
      <c r="R14" s="7">
        <v>6</v>
      </c>
      <c r="S14" s="96">
        <v>3</v>
      </c>
      <c r="T14" s="96">
        <v>1</v>
      </c>
      <c r="U14" s="96">
        <v>2</v>
      </c>
      <c r="V14" s="7">
        <f t="shared" si="1"/>
        <v>18</v>
      </c>
      <c r="W14" s="88">
        <v>11</v>
      </c>
      <c r="X14" s="97">
        <v>3</v>
      </c>
      <c r="Y14" s="97">
        <v>3</v>
      </c>
      <c r="Z14" s="97">
        <v>0</v>
      </c>
      <c r="AA14" s="86">
        <v>8</v>
      </c>
      <c r="AB14" s="86">
        <v>4</v>
      </c>
      <c r="AC14" s="86">
        <v>4</v>
      </c>
      <c r="AD14" s="98">
        <f t="shared" si="5"/>
        <v>7</v>
      </c>
      <c r="AF14" s="39">
        <f t="shared" si="6"/>
        <v>0</v>
      </c>
      <c r="AG14" s="39">
        <f t="shared" si="3"/>
        <v>0</v>
      </c>
      <c r="AH14" s="39">
        <f t="shared" si="4"/>
        <v>0</v>
      </c>
    </row>
    <row r="15" spans="2:34" x14ac:dyDescent="0.15">
      <c r="B15" s="26" t="s">
        <v>204</v>
      </c>
      <c r="C15" s="24"/>
      <c r="D15" s="24"/>
      <c r="E15" s="24" t="s">
        <v>204</v>
      </c>
      <c r="F15" s="24"/>
      <c r="G15" s="24"/>
      <c r="H15" s="24" t="s">
        <v>204</v>
      </c>
      <c r="I15" s="24"/>
      <c r="J15" s="24"/>
      <c r="K15" s="24" t="s">
        <v>130</v>
      </c>
      <c r="L15" s="32"/>
      <c r="M15" s="32"/>
      <c r="N15" s="32"/>
      <c r="O15" s="20"/>
      <c r="P15" s="101"/>
      <c r="Q15" s="1" t="str">
        <f t="shared" si="2"/>
        <v>64</v>
      </c>
      <c r="R15" s="7">
        <v>6</v>
      </c>
      <c r="S15" s="96">
        <v>4</v>
      </c>
      <c r="T15" s="96">
        <v>2</v>
      </c>
      <c r="U15" s="96">
        <v>2</v>
      </c>
      <c r="V15" s="7">
        <f t="shared" si="1"/>
        <v>24</v>
      </c>
      <c r="W15" s="88">
        <v>14</v>
      </c>
      <c r="X15" s="97">
        <v>6</v>
      </c>
      <c r="Y15" s="97">
        <v>6</v>
      </c>
      <c r="Z15" s="97">
        <v>0</v>
      </c>
      <c r="AA15" s="86">
        <v>8</v>
      </c>
      <c r="AB15" s="86">
        <v>4</v>
      </c>
      <c r="AC15" s="86">
        <v>4</v>
      </c>
      <c r="AD15" s="98">
        <f t="shared" si="5"/>
        <v>10</v>
      </c>
      <c r="AF15" s="39">
        <f t="shared" si="6"/>
        <v>0</v>
      </c>
      <c r="AG15" s="39">
        <f t="shared" si="3"/>
        <v>0</v>
      </c>
      <c r="AH15" s="39">
        <f t="shared" si="4"/>
        <v>0</v>
      </c>
    </row>
    <row r="16" spans="2:34" x14ac:dyDescent="0.15">
      <c r="B16" s="26" t="s">
        <v>130</v>
      </c>
      <c r="C16" s="27"/>
      <c r="D16" s="27"/>
      <c r="E16" s="27" t="s">
        <v>130</v>
      </c>
      <c r="F16" s="27"/>
      <c r="G16" s="27"/>
      <c r="H16" s="27" t="s">
        <v>130</v>
      </c>
      <c r="I16" s="27"/>
      <c r="J16" s="27"/>
      <c r="K16" s="27" t="s">
        <v>130</v>
      </c>
      <c r="L16" s="31"/>
      <c r="M16" s="31"/>
      <c r="N16" s="31"/>
      <c r="O16" s="25"/>
      <c r="P16" s="101"/>
      <c r="Q16" s="1" t="str">
        <f t="shared" si="2"/>
        <v>65</v>
      </c>
      <c r="R16" s="7">
        <v>6</v>
      </c>
      <c r="S16" s="96">
        <v>5</v>
      </c>
      <c r="T16" s="96">
        <v>1</v>
      </c>
      <c r="U16" s="96">
        <v>4</v>
      </c>
      <c r="V16" s="7">
        <f t="shared" si="1"/>
        <v>30</v>
      </c>
      <c r="W16" s="88">
        <v>19</v>
      </c>
      <c r="X16" s="97">
        <v>9</v>
      </c>
      <c r="Y16" s="97">
        <v>7</v>
      </c>
      <c r="Z16" s="97">
        <v>2</v>
      </c>
      <c r="AA16" s="86">
        <v>10</v>
      </c>
      <c r="AB16" s="86">
        <v>4</v>
      </c>
      <c r="AC16" s="86">
        <v>6</v>
      </c>
      <c r="AD16" s="98">
        <f t="shared" si="5"/>
        <v>11</v>
      </c>
      <c r="AF16" s="39">
        <f t="shared" si="6"/>
        <v>0</v>
      </c>
      <c r="AG16" s="39">
        <f t="shared" si="3"/>
        <v>0</v>
      </c>
      <c r="AH16" s="39">
        <f t="shared" si="4"/>
        <v>0</v>
      </c>
    </row>
    <row r="17" spans="2:34" x14ac:dyDescent="0.15"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18"/>
      <c r="P17" s="101"/>
      <c r="Q17" s="1" t="str">
        <f t="shared" si="2"/>
        <v>66</v>
      </c>
      <c r="R17" s="7">
        <v>6</v>
      </c>
      <c r="S17" s="96">
        <v>6</v>
      </c>
      <c r="T17" s="96">
        <v>2</v>
      </c>
      <c r="U17" s="96">
        <v>4</v>
      </c>
      <c r="V17" s="7">
        <f t="shared" si="1"/>
        <v>36</v>
      </c>
      <c r="W17" s="88">
        <v>22</v>
      </c>
      <c r="X17" s="97">
        <v>12</v>
      </c>
      <c r="Y17" s="97">
        <v>10</v>
      </c>
      <c r="Z17" s="97">
        <v>2</v>
      </c>
      <c r="AA17" s="86">
        <v>10</v>
      </c>
      <c r="AB17" s="86">
        <v>4</v>
      </c>
      <c r="AC17" s="86">
        <v>6</v>
      </c>
      <c r="AD17" s="98">
        <f t="shared" si="5"/>
        <v>14</v>
      </c>
      <c r="AF17" s="39">
        <f t="shared" si="6"/>
        <v>0</v>
      </c>
      <c r="AG17" s="39">
        <f t="shared" si="3"/>
        <v>0</v>
      </c>
      <c r="AH17" s="39">
        <f t="shared" si="4"/>
        <v>0</v>
      </c>
    </row>
    <row r="18" spans="2:34" x14ac:dyDescent="0.15">
      <c r="B18" s="26" t="s">
        <v>130</v>
      </c>
      <c r="C18" s="27"/>
      <c r="D18" s="27"/>
      <c r="E18" s="27" t="s">
        <v>130</v>
      </c>
      <c r="F18" s="27"/>
      <c r="G18" s="27"/>
      <c r="H18" s="27" t="s">
        <v>130</v>
      </c>
      <c r="I18" s="31"/>
      <c r="J18" s="31"/>
      <c r="K18" s="31"/>
      <c r="L18" s="31"/>
      <c r="M18" s="31"/>
      <c r="N18" s="31"/>
      <c r="O18" s="19">
        <f>COUNTA(B18:N22)</f>
        <v>16</v>
      </c>
      <c r="P18" s="103">
        <v>46</v>
      </c>
      <c r="Q18" s="1" t="str">
        <f t="shared" si="2"/>
        <v>83</v>
      </c>
      <c r="R18" s="7">
        <v>8</v>
      </c>
      <c r="S18" s="96">
        <v>3</v>
      </c>
      <c r="T18" s="96">
        <v>1</v>
      </c>
      <c r="U18" s="96">
        <v>2</v>
      </c>
      <c r="V18" s="7">
        <f t="shared" si="1"/>
        <v>24</v>
      </c>
      <c r="W18" s="88">
        <v>14</v>
      </c>
      <c r="X18" s="97">
        <v>4</v>
      </c>
      <c r="Y18" s="97">
        <v>4</v>
      </c>
      <c r="Z18" s="97">
        <v>0</v>
      </c>
      <c r="AA18" s="86">
        <v>10</v>
      </c>
      <c r="AB18" s="86">
        <v>6</v>
      </c>
      <c r="AC18" s="86">
        <v>4</v>
      </c>
      <c r="AD18" s="98">
        <f t="shared" si="5"/>
        <v>10</v>
      </c>
      <c r="AF18" s="39">
        <f t="shared" si="6"/>
        <v>0</v>
      </c>
      <c r="AG18" s="39">
        <f t="shared" si="3"/>
        <v>0</v>
      </c>
      <c r="AH18" s="39">
        <f t="shared" si="4"/>
        <v>0</v>
      </c>
    </row>
    <row r="19" spans="2:34" x14ac:dyDescent="0.15">
      <c r="B19" s="84" t="s">
        <v>204</v>
      </c>
      <c r="C19" s="24"/>
      <c r="D19" s="24"/>
      <c r="E19" s="24" t="s">
        <v>204</v>
      </c>
      <c r="F19" s="24"/>
      <c r="G19" s="24"/>
      <c r="H19" s="24" t="s">
        <v>130</v>
      </c>
      <c r="I19" s="32"/>
      <c r="J19" s="32"/>
      <c r="K19" s="32"/>
      <c r="L19" s="32"/>
      <c r="M19" s="32"/>
      <c r="N19" s="32"/>
      <c r="O19" s="18"/>
      <c r="P19" s="101"/>
      <c r="Q19" s="1" t="str">
        <f t="shared" si="2"/>
        <v>84</v>
      </c>
      <c r="R19" s="7">
        <v>8</v>
      </c>
      <c r="S19" s="96">
        <v>4</v>
      </c>
      <c r="T19" s="96">
        <v>2</v>
      </c>
      <c r="U19" s="96">
        <v>2</v>
      </c>
      <c r="V19" s="7">
        <f t="shared" si="1"/>
        <v>32</v>
      </c>
      <c r="W19" s="88">
        <v>18</v>
      </c>
      <c r="X19" s="97">
        <v>8</v>
      </c>
      <c r="Y19" s="97">
        <v>8</v>
      </c>
      <c r="Z19" s="97">
        <v>0</v>
      </c>
      <c r="AA19" s="86">
        <v>10</v>
      </c>
      <c r="AB19" s="86">
        <v>6</v>
      </c>
      <c r="AC19" s="86">
        <v>4</v>
      </c>
      <c r="AD19" s="98">
        <f t="shared" si="5"/>
        <v>14</v>
      </c>
      <c r="AF19" s="39">
        <f t="shared" si="6"/>
        <v>0</v>
      </c>
      <c r="AG19" s="39">
        <f t="shared" si="3"/>
        <v>0</v>
      </c>
      <c r="AH19" s="39">
        <f t="shared" si="4"/>
        <v>0</v>
      </c>
    </row>
    <row r="20" spans="2:34" x14ac:dyDescent="0.15">
      <c r="B20" s="26"/>
      <c r="C20" s="24" t="s">
        <v>204</v>
      </c>
      <c r="D20" s="24" t="s">
        <v>204</v>
      </c>
      <c r="E20" s="24"/>
      <c r="F20" s="24" t="s">
        <v>204</v>
      </c>
      <c r="G20" s="24" t="s">
        <v>204</v>
      </c>
      <c r="H20" s="24"/>
      <c r="I20" s="32"/>
      <c r="J20" s="32"/>
      <c r="K20" s="32"/>
      <c r="L20" s="32"/>
      <c r="M20" s="32"/>
      <c r="N20" s="32"/>
      <c r="O20" s="94">
        <v>8</v>
      </c>
      <c r="P20" s="101"/>
      <c r="Q20" s="1" t="str">
        <f t="shared" si="2"/>
        <v>85</v>
      </c>
      <c r="R20" s="7">
        <v>8</v>
      </c>
      <c r="S20" s="96">
        <v>5</v>
      </c>
      <c r="T20" s="96">
        <v>1</v>
      </c>
      <c r="U20" s="96">
        <v>4</v>
      </c>
      <c r="V20" s="7">
        <f t="shared" si="1"/>
        <v>40</v>
      </c>
      <c r="W20" s="88">
        <v>24</v>
      </c>
      <c r="X20" s="97">
        <v>12</v>
      </c>
      <c r="Y20" s="97">
        <v>10</v>
      </c>
      <c r="Z20" s="97">
        <v>2</v>
      </c>
      <c r="AA20" s="86">
        <v>12</v>
      </c>
      <c r="AB20" s="86">
        <v>6</v>
      </c>
      <c r="AC20" s="86">
        <v>6</v>
      </c>
      <c r="AD20" s="98">
        <f t="shared" si="5"/>
        <v>16</v>
      </c>
      <c r="AF20" s="39">
        <f t="shared" si="6"/>
        <v>0</v>
      </c>
      <c r="AG20" s="39">
        <f t="shared" si="3"/>
        <v>0</v>
      </c>
      <c r="AH20" s="39">
        <f t="shared" si="4"/>
        <v>0</v>
      </c>
    </row>
    <row r="21" spans="2:34" x14ac:dyDescent="0.15">
      <c r="B21" s="26" t="s">
        <v>204</v>
      </c>
      <c r="C21" s="24"/>
      <c r="D21" s="24"/>
      <c r="E21" s="24" t="s">
        <v>204</v>
      </c>
      <c r="F21" s="24"/>
      <c r="G21" s="24"/>
      <c r="H21" s="24" t="s">
        <v>130</v>
      </c>
      <c r="I21" s="32"/>
      <c r="J21" s="32"/>
      <c r="K21" s="32"/>
      <c r="L21" s="32"/>
      <c r="M21" s="32"/>
      <c r="N21" s="32"/>
      <c r="O21" s="20"/>
      <c r="P21" s="101"/>
      <c r="Q21" s="1" t="str">
        <f t="shared" si="2"/>
        <v>86</v>
      </c>
      <c r="R21" s="7">
        <v>8</v>
      </c>
      <c r="S21" s="96">
        <v>6</v>
      </c>
      <c r="T21" s="96">
        <v>2</v>
      </c>
      <c r="U21" s="96">
        <v>4</v>
      </c>
      <c r="V21" s="7">
        <f t="shared" si="1"/>
        <v>48</v>
      </c>
      <c r="W21" s="88">
        <v>28</v>
      </c>
      <c r="X21" s="97">
        <v>16</v>
      </c>
      <c r="Y21" s="97">
        <v>14</v>
      </c>
      <c r="Z21" s="97">
        <v>2</v>
      </c>
      <c r="AA21" s="86">
        <v>12</v>
      </c>
      <c r="AB21" s="86">
        <v>6</v>
      </c>
      <c r="AC21" s="86">
        <v>6</v>
      </c>
      <c r="AD21" s="98">
        <f t="shared" si="5"/>
        <v>20</v>
      </c>
      <c r="AF21" s="39">
        <f t="shared" si="6"/>
        <v>0</v>
      </c>
      <c r="AG21" s="39">
        <f t="shared" si="3"/>
        <v>0</v>
      </c>
      <c r="AH21" s="39">
        <f t="shared" si="4"/>
        <v>0</v>
      </c>
    </row>
    <row r="22" spans="2:34" x14ac:dyDescent="0.15">
      <c r="B22" s="26" t="s">
        <v>130</v>
      </c>
      <c r="C22" s="27"/>
      <c r="D22" s="27"/>
      <c r="E22" s="27" t="s">
        <v>130</v>
      </c>
      <c r="F22" s="27"/>
      <c r="G22" s="27"/>
      <c r="H22" s="27" t="s">
        <v>130</v>
      </c>
      <c r="I22" s="31"/>
      <c r="J22" s="31"/>
      <c r="K22" s="31"/>
      <c r="L22" s="31"/>
      <c r="M22" s="31"/>
      <c r="N22" s="31"/>
      <c r="O22" s="25"/>
      <c r="P22" s="101"/>
      <c r="R22" s="7"/>
      <c r="S22" s="7"/>
      <c r="T22" s="7"/>
      <c r="U22" s="7"/>
      <c r="V22" s="7"/>
      <c r="W22" s="7"/>
      <c r="X22" s="7"/>
      <c r="AD22" s="7"/>
    </row>
    <row r="23" spans="2:34" x14ac:dyDescent="0.15">
      <c r="B23" s="29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18"/>
      <c r="P23" s="101"/>
    </row>
    <row r="24" spans="2:34" x14ac:dyDescent="0.15">
      <c r="B24" s="26" t="s">
        <v>130</v>
      </c>
      <c r="C24" s="27"/>
      <c r="D24" s="27"/>
      <c r="E24" s="27" t="s">
        <v>130</v>
      </c>
      <c r="F24" s="30"/>
      <c r="G24" s="30"/>
      <c r="H24" s="30"/>
      <c r="I24" s="30"/>
      <c r="J24" s="30"/>
      <c r="K24" s="30"/>
      <c r="L24" s="30"/>
      <c r="M24" s="30"/>
      <c r="N24" s="30"/>
      <c r="O24" s="19">
        <f>COUNTA(B24:N28)</f>
        <v>10</v>
      </c>
      <c r="P24" s="103">
        <v>26</v>
      </c>
    </row>
    <row r="25" spans="2:34" x14ac:dyDescent="0.15">
      <c r="B25" s="84" t="s">
        <v>204</v>
      </c>
      <c r="C25" s="24"/>
      <c r="D25" s="24"/>
      <c r="E25" s="24" t="s">
        <v>130</v>
      </c>
      <c r="F25" s="30"/>
      <c r="G25" s="30"/>
      <c r="H25" s="30"/>
      <c r="I25" s="30"/>
      <c r="J25" s="30"/>
      <c r="K25" s="30"/>
      <c r="L25" s="30"/>
      <c r="M25" s="30"/>
      <c r="N25" s="30"/>
      <c r="O25" s="18"/>
      <c r="P25" s="101"/>
    </row>
    <row r="26" spans="2:34" x14ac:dyDescent="0.15">
      <c r="B26" s="26"/>
      <c r="C26" s="24" t="s">
        <v>204</v>
      </c>
      <c r="D26" s="24" t="s">
        <v>204</v>
      </c>
      <c r="E26" s="24"/>
      <c r="F26" s="30"/>
      <c r="G26" s="30"/>
      <c r="H26" s="30"/>
      <c r="I26" s="30"/>
      <c r="J26" s="30"/>
      <c r="K26" s="30"/>
      <c r="L26" s="30"/>
      <c r="M26" s="30"/>
      <c r="N26" s="30"/>
      <c r="O26" s="94">
        <v>4</v>
      </c>
      <c r="P26" s="101"/>
    </row>
    <row r="27" spans="2:34" x14ac:dyDescent="0.15">
      <c r="B27" s="26" t="s">
        <v>204</v>
      </c>
      <c r="C27" s="24"/>
      <c r="D27" s="24"/>
      <c r="E27" s="24" t="s">
        <v>130</v>
      </c>
      <c r="F27" s="30"/>
      <c r="G27" s="30"/>
      <c r="H27" s="30"/>
      <c r="I27" s="30"/>
      <c r="J27" s="30"/>
      <c r="K27" s="30"/>
      <c r="L27" s="30"/>
      <c r="M27" s="30"/>
      <c r="N27" s="30"/>
      <c r="O27" s="20"/>
      <c r="P27" s="101"/>
    </row>
    <row r="28" spans="2:34" x14ac:dyDescent="0.15">
      <c r="B28" s="26" t="s">
        <v>130</v>
      </c>
      <c r="C28" s="27"/>
      <c r="D28" s="27"/>
      <c r="E28" s="27" t="s">
        <v>130</v>
      </c>
      <c r="F28" s="30"/>
      <c r="G28" s="30"/>
      <c r="H28" s="30"/>
      <c r="I28" s="30"/>
      <c r="J28" s="30"/>
      <c r="K28" s="30"/>
      <c r="L28" s="30"/>
      <c r="M28" s="30"/>
      <c r="N28" s="30"/>
      <c r="O28" s="25"/>
      <c r="P28" s="101"/>
    </row>
    <row r="29" spans="2:34" x14ac:dyDescent="0.15">
      <c r="B29" s="29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18"/>
      <c r="P29" s="101"/>
    </row>
    <row r="30" spans="2:34" x14ac:dyDescent="0.15">
      <c r="B30" s="33" t="s">
        <v>130</v>
      </c>
      <c r="C30" s="34"/>
      <c r="D30" s="34" t="s">
        <v>130</v>
      </c>
      <c r="E30" s="34"/>
      <c r="F30" s="34" t="s">
        <v>130</v>
      </c>
      <c r="G30" s="34"/>
      <c r="H30" s="34" t="s">
        <v>130</v>
      </c>
      <c r="I30" s="34"/>
      <c r="J30" s="34" t="s">
        <v>130</v>
      </c>
      <c r="K30" s="30"/>
      <c r="L30" s="30"/>
      <c r="M30" s="30"/>
      <c r="N30" s="30"/>
      <c r="O30" s="19">
        <f>COUNTA(B30:N34)</f>
        <v>24</v>
      </c>
      <c r="P30" s="103">
        <v>85</v>
      </c>
    </row>
    <row r="31" spans="2:34" x14ac:dyDescent="0.15">
      <c r="B31" s="33" t="s">
        <v>204</v>
      </c>
      <c r="C31" s="35"/>
      <c r="D31" s="35" t="s">
        <v>204</v>
      </c>
      <c r="E31" s="35"/>
      <c r="F31" s="35" t="s">
        <v>204</v>
      </c>
      <c r="G31" s="35"/>
      <c r="H31" s="35" t="s">
        <v>204</v>
      </c>
      <c r="I31" s="35"/>
      <c r="J31" s="35" t="s">
        <v>130</v>
      </c>
      <c r="K31" s="30"/>
      <c r="L31" s="30"/>
      <c r="M31" s="30"/>
      <c r="N31" s="30"/>
      <c r="O31" s="18"/>
      <c r="P31" s="101"/>
    </row>
    <row r="32" spans="2:34" x14ac:dyDescent="0.15">
      <c r="B32" s="33"/>
      <c r="C32" s="35" t="s">
        <v>204</v>
      </c>
      <c r="D32" s="35"/>
      <c r="E32" s="35" t="s">
        <v>204</v>
      </c>
      <c r="F32" s="35"/>
      <c r="G32" s="35" t="s">
        <v>204</v>
      </c>
      <c r="H32" s="35"/>
      <c r="I32" s="35" t="s">
        <v>204</v>
      </c>
      <c r="J32" s="35"/>
      <c r="K32" s="30"/>
      <c r="L32" s="30"/>
      <c r="M32" s="30"/>
      <c r="N32" s="30"/>
      <c r="O32" s="94">
        <v>12</v>
      </c>
      <c r="P32" s="101"/>
    </row>
    <row r="33" spans="2:16" x14ac:dyDescent="0.15">
      <c r="B33" s="33" t="s">
        <v>204</v>
      </c>
      <c r="C33" s="35"/>
      <c r="D33" s="35" t="s">
        <v>204</v>
      </c>
      <c r="E33" s="35"/>
      <c r="F33" s="35" t="s">
        <v>204</v>
      </c>
      <c r="G33" s="35"/>
      <c r="H33" s="35" t="s">
        <v>204</v>
      </c>
      <c r="I33" s="35"/>
      <c r="J33" s="35" t="s">
        <v>130</v>
      </c>
      <c r="K33" s="30"/>
      <c r="L33" s="30"/>
      <c r="M33" s="30"/>
      <c r="N33" s="30"/>
      <c r="O33" s="20"/>
      <c r="P33" s="101"/>
    </row>
    <row r="34" spans="2:16" x14ac:dyDescent="0.15">
      <c r="B34" s="33" t="s">
        <v>130</v>
      </c>
      <c r="C34" s="34"/>
      <c r="D34" s="34" t="s">
        <v>130</v>
      </c>
      <c r="E34" s="34"/>
      <c r="F34" s="34" t="s">
        <v>130</v>
      </c>
      <c r="G34" s="34"/>
      <c r="H34" s="34" t="s">
        <v>130</v>
      </c>
      <c r="I34" s="34"/>
      <c r="J34" s="34" t="s">
        <v>130</v>
      </c>
      <c r="K34" s="30"/>
      <c r="L34" s="30"/>
      <c r="M34" s="30"/>
      <c r="N34" s="30"/>
      <c r="O34" s="25"/>
      <c r="P34" s="101"/>
    </row>
    <row r="35" spans="2:16" x14ac:dyDescent="0.15">
      <c r="B35" s="29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18"/>
      <c r="P35" s="101"/>
    </row>
    <row r="36" spans="2:16" x14ac:dyDescent="0.15">
      <c r="B36" s="33" t="s">
        <v>130</v>
      </c>
      <c r="C36" s="34"/>
      <c r="D36" s="34" t="s">
        <v>130</v>
      </c>
      <c r="E36" s="34"/>
      <c r="F36" s="34" t="s">
        <v>130</v>
      </c>
      <c r="G36" s="34"/>
      <c r="H36" s="34" t="s">
        <v>130</v>
      </c>
      <c r="I36" s="31"/>
      <c r="J36" s="31"/>
      <c r="K36" s="30"/>
      <c r="L36" s="30"/>
      <c r="M36" s="30"/>
      <c r="N36" s="30"/>
      <c r="O36" s="19">
        <f>COUNTA(B36:N40)</f>
        <v>19</v>
      </c>
      <c r="P36" s="103">
        <v>65</v>
      </c>
    </row>
    <row r="37" spans="2:16" x14ac:dyDescent="0.15">
      <c r="B37" s="33" t="s">
        <v>204</v>
      </c>
      <c r="C37" s="35"/>
      <c r="D37" s="35" t="s">
        <v>204</v>
      </c>
      <c r="E37" s="35"/>
      <c r="F37" s="35" t="s">
        <v>204</v>
      </c>
      <c r="G37" s="35"/>
      <c r="H37" s="35" t="s">
        <v>130</v>
      </c>
      <c r="I37" s="32"/>
      <c r="J37" s="32"/>
      <c r="K37" s="30"/>
      <c r="L37" s="30"/>
      <c r="M37" s="30"/>
      <c r="N37" s="30"/>
      <c r="O37" s="18"/>
      <c r="P37" s="101"/>
    </row>
    <row r="38" spans="2:16" x14ac:dyDescent="0.15">
      <c r="B38" s="33"/>
      <c r="C38" s="35" t="s">
        <v>204</v>
      </c>
      <c r="D38" s="35"/>
      <c r="E38" s="35" t="s">
        <v>204</v>
      </c>
      <c r="F38" s="35"/>
      <c r="G38" s="35" t="s">
        <v>204</v>
      </c>
      <c r="H38" s="35"/>
      <c r="I38" s="32"/>
      <c r="J38" s="32"/>
      <c r="K38" s="30"/>
      <c r="L38" s="30"/>
      <c r="M38" s="30"/>
      <c r="N38" s="30"/>
      <c r="O38" s="94">
        <v>9</v>
      </c>
      <c r="P38" s="101"/>
    </row>
    <row r="39" spans="2:16" x14ac:dyDescent="0.15">
      <c r="B39" s="33" t="s">
        <v>204</v>
      </c>
      <c r="C39" s="35"/>
      <c r="D39" s="35" t="s">
        <v>204</v>
      </c>
      <c r="E39" s="35"/>
      <c r="F39" s="35" t="s">
        <v>204</v>
      </c>
      <c r="G39" s="35"/>
      <c r="H39" s="35" t="s">
        <v>130</v>
      </c>
      <c r="I39" s="32"/>
      <c r="J39" s="32"/>
      <c r="K39" s="30"/>
      <c r="L39" s="30"/>
      <c r="M39" s="30"/>
      <c r="N39" s="30"/>
      <c r="O39" s="20"/>
      <c r="P39" s="101"/>
    </row>
    <row r="40" spans="2:16" x14ac:dyDescent="0.15">
      <c r="B40" s="33" t="s">
        <v>130</v>
      </c>
      <c r="C40" s="34"/>
      <c r="D40" s="34" t="s">
        <v>130</v>
      </c>
      <c r="E40" s="34"/>
      <c r="F40" s="34" t="s">
        <v>130</v>
      </c>
      <c r="G40" s="34"/>
      <c r="H40" s="34" t="s">
        <v>130</v>
      </c>
      <c r="I40" s="31"/>
      <c r="J40" s="31"/>
      <c r="K40" s="30"/>
      <c r="L40" s="30"/>
      <c r="M40" s="30"/>
      <c r="N40" s="30"/>
      <c r="O40" s="25"/>
      <c r="P40" s="101"/>
    </row>
    <row r="41" spans="2:16" x14ac:dyDescent="0.15">
      <c r="B41" s="29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18"/>
      <c r="P41" s="101"/>
    </row>
    <row r="42" spans="2:16" x14ac:dyDescent="0.15">
      <c r="B42" s="33" t="s">
        <v>130</v>
      </c>
      <c r="C42" s="34"/>
      <c r="D42" s="34" t="s">
        <v>130</v>
      </c>
      <c r="E42" s="34"/>
      <c r="F42" s="34" t="s">
        <v>130</v>
      </c>
      <c r="G42" s="31"/>
      <c r="H42" s="31"/>
      <c r="I42" s="31"/>
      <c r="J42" s="31"/>
      <c r="K42" s="30"/>
      <c r="L42" s="30"/>
      <c r="M42" s="30"/>
      <c r="N42" s="30"/>
      <c r="O42" s="19">
        <f>COUNTA(B42:N46)</f>
        <v>14</v>
      </c>
      <c r="P42" s="103">
        <v>45</v>
      </c>
    </row>
    <row r="43" spans="2:16" x14ac:dyDescent="0.15">
      <c r="B43" s="33" t="s">
        <v>204</v>
      </c>
      <c r="C43" s="35"/>
      <c r="D43" s="35" t="s">
        <v>204</v>
      </c>
      <c r="E43" s="35"/>
      <c r="F43" s="35" t="s">
        <v>130</v>
      </c>
      <c r="G43" s="32"/>
      <c r="H43" s="32"/>
      <c r="I43" s="32"/>
      <c r="J43" s="32"/>
      <c r="K43" s="30"/>
      <c r="L43" s="30"/>
      <c r="M43" s="30"/>
      <c r="N43" s="30"/>
      <c r="O43" s="18"/>
      <c r="P43" s="101"/>
    </row>
    <row r="44" spans="2:16" x14ac:dyDescent="0.15">
      <c r="B44" s="33"/>
      <c r="C44" s="35" t="s">
        <v>204</v>
      </c>
      <c r="D44" s="35"/>
      <c r="E44" s="35" t="s">
        <v>204</v>
      </c>
      <c r="F44" s="35"/>
      <c r="G44" s="32"/>
      <c r="H44" s="32"/>
      <c r="I44" s="32"/>
      <c r="J44" s="32"/>
      <c r="K44" s="30"/>
      <c r="L44" s="30"/>
      <c r="M44" s="30"/>
      <c r="N44" s="30"/>
      <c r="O44" s="94">
        <v>6</v>
      </c>
      <c r="P44" s="101"/>
    </row>
    <row r="45" spans="2:16" x14ac:dyDescent="0.15">
      <c r="B45" s="33" t="s">
        <v>204</v>
      </c>
      <c r="C45" s="35"/>
      <c r="D45" s="35" t="s">
        <v>204</v>
      </c>
      <c r="E45" s="35"/>
      <c r="F45" s="35" t="s">
        <v>130</v>
      </c>
      <c r="G45" s="32"/>
      <c r="H45" s="32"/>
      <c r="I45" s="32"/>
      <c r="J45" s="32"/>
      <c r="K45" s="30"/>
      <c r="L45" s="30"/>
      <c r="M45" s="30"/>
      <c r="N45" s="30"/>
      <c r="O45" s="20"/>
      <c r="P45" s="101"/>
    </row>
    <row r="46" spans="2:16" x14ac:dyDescent="0.15">
      <c r="B46" s="33" t="s">
        <v>130</v>
      </c>
      <c r="C46" s="34"/>
      <c r="D46" s="34" t="s">
        <v>130</v>
      </c>
      <c r="E46" s="34"/>
      <c r="F46" s="34" t="s">
        <v>130</v>
      </c>
      <c r="G46" s="31"/>
      <c r="H46" s="31"/>
      <c r="I46" s="31"/>
      <c r="J46" s="31"/>
      <c r="K46" s="30"/>
      <c r="L46" s="30"/>
      <c r="M46" s="30"/>
      <c r="N46" s="30"/>
      <c r="O46" s="25"/>
      <c r="P46" s="101"/>
    </row>
    <row r="47" spans="2:16" x14ac:dyDescent="0.15">
      <c r="B47" s="29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18"/>
      <c r="P47" s="101"/>
    </row>
    <row r="48" spans="2:16" x14ac:dyDescent="0.15">
      <c r="B48" s="33" t="s">
        <v>130</v>
      </c>
      <c r="C48" s="34"/>
      <c r="D48" s="34" t="s">
        <v>130</v>
      </c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19">
        <f>COUNTA(B48:N52)</f>
        <v>9</v>
      </c>
      <c r="P48" s="103">
        <v>25</v>
      </c>
    </row>
    <row r="49" spans="2:16" x14ac:dyDescent="0.15">
      <c r="B49" s="33" t="s">
        <v>204</v>
      </c>
      <c r="C49" s="35"/>
      <c r="D49" s="35" t="s">
        <v>130</v>
      </c>
      <c r="E49" s="32"/>
      <c r="F49" s="32"/>
      <c r="G49" s="32"/>
      <c r="H49" s="32"/>
      <c r="I49" s="32"/>
      <c r="J49" s="32"/>
      <c r="K49" s="30"/>
      <c r="L49" s="30"/>
      <c r="M49" s="30"/>
      <c r="N49" s="30"/>
      <c r="O49" s="18"/>
      <c r="P49" s="101"/>
    </row>
    <row r="50" spans="2:16" x14ac:dyDescent="0.15">
      <c r="B50" s="33"/>
      <c r="C50" s="35" t="s">
        <v>204</v>
      </c>
      <c r="D50" s="35"/>
      <c r="E50" s="32"/>
      <c r="F50" s="32"/>
      <c r="G50" s="32"/>
      <c r="H50" s="32"/>
      <c r="I50" s="32"/>
      <c r="J50" s="32"/>
      <c r="K50" s="30"/>
      <c r="L50" s="30"/>
      <c r="M50" s="30"/>
      <c r="N50" s="30"/>
      <c r="O50" s="94">
        <v>3</v>
      </c>
      <c r="P50" s="101"/>
    </row>
    <row r="51" spans="2:16" x14ac:dyDescent="0.15">
      <c r="B51" s="33" t="s">
        <v>204</v>
      </c>
      <c r="C51" s="35"/>
      <c r="D51" s="35" t="s">
        <v>130</v>
      </c>
      <c r="E51" s="32"/>
      <c r="F51" s="32"/>
      <c r="G51" s="32"/>
      <c r="H51" s="32"/>
      <c r="I51" s="32"/>
      <c r="J51" s="32"/>
      <c r="K51" s="30"/>
      <c r="L51" s="30"/>
      <c r="M51" s="30"/>
      <c r="N51" s="30"/>
      <c r="O51" s="20"/>
      <c r="P51" s="101"/>
    </row>
    <row r="52" spans="2:16" x14ac:dyDescent="0.15">
      <c r="B52" s="33" t="s">
        <v>130</v>
      </c>
      <c r="C52" s="34"/>
      <c r="D52" s="34" t="s">
        <v>130</v>
      </c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25"/>
      <c r="P52" s="101"/>
    </row>
    <row r="53" spans="2:16" x14ac:dyDescent="0.15">
      <c r="B53" s="29"/>
      <c r="C53" s="30"/>
      <c r="D53" s="30"/>
      <c r="E53" s="30"/>
      <c r="F53" s="30"/>
      <c r="G53" s="31"/>
      <c r="H53" s="31"/>
      <c r="I53" s="31"/>
      <c r="J53" s="31"/>
      <c r="K53" s="30"/>
      <c r="L53" s="30"/>
      <c r="M53" s="30"/>
      <c r="N53" s="30"/>
      <c r="O53" s="25"/>
      <c r="P53" s="101"/>
    </row>
    <row r="54" spans="2:16" x14ac:dyDescent="0.15">
      <c r="B54" s="36" t="s">
        <v>130</v>
      </c>
      <c r="C54" s="37"/>
      <c r="D54" s="37"/>
      <c r="E54" s="37" t="s">
        <v>130</v>
      </c>
      <c r="F54" s="37"/>
      <c r="G54" s="37"/>
      <c r="H54" s="37" t="s">
        <v>130</v>
      </c>
      <c r="I54" s="37"/>
      <c r="J54" s="37"/>
      <c r="K54" s="37" t="s">
        <v>130</v>
      </c>
      <c r="L54" s="37"/>
      <c r="M54" s="37"/>
      <c r="N54" s="37" t="s">
        <v>130</v>
      </c>
      <c r="O54" s="19">
        <f>COUNTA(B54:N56)</f>
        <v>18</v>
      </c>
      <c r="P54" s="103">
        <v>84</v>
      </c>
    </row>
    <row r="55" spans="2:16" x14ac:dyDescent="0.15">
      <c r="B55" s="36"/>
      <c r="C55" s="37" t="s">
        <v>204</v>
      </c>
      <c r="D55" s="37" t="s">
        <v>204</v>
      </c>
      <c r="E55" s="37"/>
      <c r="F55" s="37" t="s">
        <v>204</v>
      </c>
      <c r="G55" s="37" t="s">
        <v>204</v>
      </c>
      <c r="H55" s="37"/>
      <c r="I55" s="37" t="s">
        <v>204</v>
      </c>
      <c r="J55" s="37" t="s">
        <v>204</v>
      </c>
      <c r="K55" s="37"/>
      <c r="L55" s="37" t="s">
        <v>204</v>
      </c>
      <c r="M55" s="37" t="s">
        <v>204</v>
      </c>
      <c r="N55" s="37"/>
      <c r="O55" s="94">
        <v>8</v>
      </c>
      <c r="P55" s="101"/>
    </row>
    <row r="56" spans="2:16" x14ac:dyDescent="0.15">
      <c r="B56" s="36" t="s">
        <v>130</v>
      </c>
      <c r="C56" s="37"/>
      <c r="D56" s="37"/>
      <c r="E56" s="37" t="s">
        <v>130</v>
      </c>
      <c r="F56" s="37"/>
      <c r="G56" s="37"/>
      <c r="H56" s="37" t="s">
        <v>130</v>
      </c>
      <c r="I56" s="37"/>
      <c r="J56" s="37"/>
      <c r="K56" s="37" t="s">
        <v>130</v>
      </c>
      <c r="L56" s="37"/>
      <c r="M56" s="37"/>
      <c r="N56" s="37" t="s">
        <v>130</v>
      </c>
      <c r="O56" s="20"/>
      <c r="P56" s="101"/>
    </row>
    <row r="57" spans="2:16" x14ac:dyDescent="0.15">
      <c r="B57" s="29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18"/>
      <c r="P57" s="101"/>
    </row>
    <row r="58" spans="2:16" x14ac:dyDescent="0.15">
      <c r="B58" s="36" t="s">
        <v>130</v>
      </c>
      <c r="C58" s="37"/>
      <c r="D58" s="37"/>
      <c r="E58" s="37" t="s">
        <v>130</v>
      </c>
      <c r="F58" s="37"/>
      <c r="G58" s="37"/>
      <c r="H58" s="37" t="s">
        <v>130</v>
      </c>
      <c r="I58" s="37"/>
      <c r="J58" s="37"/>
      <c r="K58" s="37" t="s">
        <v>130</v>
      </c>
      <c r="L58" s="32"/>
      <c r="M58" s="32"/>
      <c r="N58" s="32"/>
      <c r="O58" s="19">
        <f>COUNTA(B58:N60)</f>
        <v>14</v>
      </c>
      <c r="P58" s="103">
        <v>64</v>
      </c>
    </row>
    <row r="59" spans="2:16" x14ac:dyDescent="0.15">
      <c r="B59" s="36"/>
      <c r="C59" s="37" t="s">
        <v>204</v>
      </c>
      <c r="D59" s="37" t="s">
        <v>204</v>
      </c>
      <c r="E59" s="37"/>
      <c r="F59" s="37" t="s">
        <v>204</v>
      </c>
      <c r="G59" s="37" t="s">
        <v>204</v>
      </c>
      <c r="H59" s="37"/>
      <c r="I59" s="37" t="s">
        <v>204</v>
      </c>
      <c r="J59" s="37" t="s">
        <v>204</v>
      </c>
      <c r="K59" s="37"/>
      <c r="L59" s="32"/>
      <c r="M59" s="32"/>
      <c r="N59" s="32"/>
      <c r="O59" s="94">
        <v>6</v>
      </c>
      <c r="P59" s="101"/>
    </row>
    <row r="60" spans="2:16" x14ac:dyDescent="0.15">
      <c r="B60" s="36" t="s">
        <v>130</v>
      </c>
      <c r="C60" s="37"/>
      <c r="D60" s="37"/>
      <c r="E60" s="37" t="s">
        <v>130</v>
      </c>
      <c r="F60" s="37"/>
      <c r="G60" s="37"/>
      <c r="H60" s="37" t="s">
        <v>130</v>
      </c>
      <c r="I60" s="37"/>
      <c r="J60" s="37"/>
      <c r="K60" s="37" t="s">
        <v>130</v>
      </c>
      <c r="L60" s="32"/>
      <c r="M60" s="32"/>
      <c r="N60" s="32"/>
      <c r="O60" s="20"/>
      <c r="P60" s="101"/>
    </row>
    <row r="61" spans="2:16" x14ac:dyDescent="0.15">
      <c r="B61" s="29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18"/>
      <c r="P61" s="101"/>
    </row>
    <row r="62" spans="2:16" x14ac:dyDescent="0.15">
      <c r="B62" s="36" t="s">
        <v>130</v>
      </c>
      <c r="C62" s="37"/>
      <c r="D62" s="37"/>
      <c r="E62" s="37" t="s">
        <v>130</v>
      </c>
      <c r="F62" s="37"/>
      <c r="G62" s="37"/>
      <c r="H62" s="37" t="s">
        <v>130</v>
      </c>
      <c r="I62" s="32"/>
      <c r="J62" s="32"/>
      <c r="K62" s="32"/>
      <c r="L62" s="32"/>
      <c r="M62" s="32"/>
      <c r="N62" s="32"/>
      <c r="O62" s="19">
        <f>COUNTA(B62:N64)</f>
        <v>10</v>
      </c>
      <c r="P62" s="103">
        <v>44</v>
      </c>
    </row>
    <row r="63" spans="2:16" x14ac:dyDescent="0.15">
      <c r="B63" s="36"/>
      <c r="C63" s="37" t="s">
        <v>204</v>
      </c>
      <c r="D63" s="37" t="s">
        <v>204</v>
      </c>
      <c r="E63" s="37"/>
      <c r="F63" s="37" t="s">
        <v>204</v>
      </c>
      <c r="G63" s="37" t="s">
        <v>204</v>
      </c>
      <c r="H63" s="37"/>
      <c r="I63" s="32"/>
      <c r="J63" s="32"/>
      <c r="K63" s="32"/>
      <c r="L63" s="32"/>
      <c r="M63" s="32"/>
      <c r="N63" s="32"/>
      <c r="O63" s="94">
        <v>4</v>
      </c>
      <c r="P63" s="101"/>
    </row>
    <row r="64" spans="2:16" x14ac:dyDescent="0.15">
      <c r="B64" s="36" t="s">
        <v>130</v>
      </c>
      <c r="C64" s="37"/>
      <c r="D64" s="37"/>
      <c r="E64" s="37" t="s">
        <v>130</v>
      </c>
      <c r="F64" s="37"/>
      <c r="G64" s="37"/>
      <c r="H64" s="37" t="s">
        <v>130</v>
      </c>
      <c r="I64" s="32"/>
      <c r="J64" s="32"/>
      <c r="K64" s="32"/>
      <c r="L64" s="32"/>
      <c r="M64" s="32"/>
      <c r="N64" s="32"/>
      <c r="O64" s="20"/>
      <c r="P64" s="101"/>
    </row>
    <row r="65" spans="2:16" x14ac:dyDescent="0.15">
      <c r="B65" s="29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18"/>
      <c r="P65" s="101"/>
    </row>
    <row r="66" spans="2:16" x14ac:dyDescent="0.15">
      <c r="B66" s="36" t="s">
        <v>130</v>
      </c>
      <c r="C66" s="37"/>
      <c r="D66" s="37"/>
      <c r="E66" s="37" t="s">
        <v>130</v>
      </c>
      <c r="F66" s="32"/>
      <c r="G66" s="32"/>
      <c r="H66" s="32"/>
      <c r="I66" s="32"/>
      <c r="J66" s="32"/>
      <c r="K66" s="32"/>
      <c r="L66" s="32"/>
      <c r="M66" s="32"/>
      <c r="N66" s="32"/>
      <c r="O66" s="19">
        <f>COUNTA(B66:N68)</f>
        <v>6</v>
      </c>
      <c r="P66" s="103">
        <v>24</v>
      </c>
    </row>
    <row r="67" spans="2:16" x14ac:dyDescent="0.15">
      <c r="B67" s="36"/>
      <c r="C67" s="37" t="s">
        <v>204</v>
      </c>
      <c r="D67" s="37" t="s">
        <v>204</v>
      </c>
      <c r="E67" s="37"/>
      <c r="F67" s="32"/>
      <c r="G67" s="32"/>
      <c r="H67" s="32"/>
      <c r="I67" s="32"/>
      <c r="J67" s="32"/>
      <c r="K67" s="32"/>
      <c r="L67" s="32"/>
      <c r="M67" s="32"/>
      <c r="N67" s="32"/>
      <c r="O67" s="94">
        <v>2</v>
      </c>
      <c r="P67" s="101"/>
    </row>
    <row r="68" spans="2:16" x14ac:dyDescent="0.15">
      <c r="B68" s="36" t="s">
        <v>130</v>
      </c>
      <c r="C68" s="37"/>
      <c r="D68" s="37"/>
      <c r="E68" s="37" t="s">
        <v>130</v>
      </c>
      <c r="F68" s="32"/>
      <c r="G68" s="32"/>
      <c r="H68" s="32"/>
      <c r="I68" s="32"/>
      <c r="J68" s="32"/>
      <c r="K68" s="32"/>
      <c r="L68" s="32"/>
      <c r="M68" s="32"/>
      <c r="N68" s="32"/>
      <c r="O68" s="20"/>
      <c r="P68" s="101"/>
    </row>
    <row r="69" spans="2:16" x14ac:dyDescent="0.15">
      <c r="B69" s="29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18"/>
      <c r="P69" s="101"/>
    </row>
    <row r="70" spans="2:16" x14ac:dyDescent="0.15">
      <c r="B70" s="89" t="s">
        <v>130</v>
      </c>
      <c r="C70" s="90"/>
      <c r="D70" s="90" t="s">
        <v>130</v>
      </c>
      <c r="E70" s="90"/>
      <c r="F70" s="90" t="s">
        <v>130</v>
      </c>
      <c r="G70" s="90"/>
      <c r="H70" s="90" t="s">
        <v>130</v>
      </c>
      <c r="I70" s="90"/>
      <c r="J70" s="90" t="s">
        <v>130</v>
      </c>
      <c r="K70" s="30"/>
      <c r="L70" s="30"/>
      <c r="M70" s="30"/>
      <c r="N70" s="30"/>
      <c r="O70" s="19">
        <f>COUNTA(B70:N72)</f>
        <v>14</v>
      </c>
      <c r="P70" s="103">
        <v>83</v>
      </c>
    </row>
    <row r="71" spans="2:16" x14ac:dyDescent="0.15">
      <c r="B71" s="89"/>
      <c r="C71" s="90" t="s">
        <v>204</v>
      </c>
      <c r="D71" s="90"/>
      <c r="E71" s="90" t="s">
        <v>204</v>
      </c>
      <c r="F71" s="90"/>
      <c r="G71" s="90" t="s">
        <v>204</v>
      </c>
      <c r="H71" s="90"/>
      <c r="I71" s="90" t="s">
        <v>204</v>
      </c>
      <c r="J71" s="90"/>
      <c r="K71" s="30"/>
      <c r="L71" s="30"/>
      <c r="M71" s="30"/>
      <c r="N71" s="30"/>
      <c r="O71" s="94">
        <v>4</v>
      </c>
      <c r="P71" s="101"/>
    </row>
    <row r="72" spans="2:16" x14ac:dyDescent="0.15">
      <c r="B72" s="89" t="s">
        <v>130</v>
      </c>
      <c r="C72" s="90"/>
      <c r="D72" s="90" t="s">
        <v>130</v>
      </c>
      <c r="E72" s="90"/>
      <c r="F72" s="90" t="s">
        <v>130</v>
      </c>
      <c r="G72" s="90"/>
      <c r="H72" s="90" t="s">
        <v>130</v>
      </c>
      <c r="I72" s="90"/>
      <c r="J72" s="90" t="s">
        <v>130</v>
      </c>
      <c r="K72" s="30"/>
      <c r="L72" s="30"/>
      <c r="M72" s="30"/>
      <c r="N72" s="30"/>
      <c r="O72" s="20"/>
      <c r="P72" s="101"/>
    </row>
    <row r="73" spans="2:16" x14ac:dyDescent="0.15">
      <c r="B73" s="29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25"/>
      <c r="P73" s="101"/>
    </row>
    <row r="74" spans="2:16" x14ac:dyDescent="0.15">
      <c r="B74" s="29"/>
      <c r="C74" s="31"/>
      <c r="D74" s="31"/>
      <c r="E74" s="31"/>
      <c r="F74" s="31"/>
      <c r="G74" s="31"/>
      <c r="H74" s="31"/>
      <c r="I74" s="31"/>
      <c r="J74" s="31"/>
      <c r="K74" s="30"/>
      <c r="L74" s="30"/>
      <c r="M74" s="30"/>
      <c r="N74" s="30"/>
      <c r="O74" s="18"/>
      <c r="P74" s="101"/>
    </row>
    <row r="75" spans="2:16" x14ac:dyDescent="0.15">
      <c r="B75" s="89" t="s">
        <v>130</v>
      </c>
      <c r="C75" s="90"/>
      <c r="D75" s="90" t="s">
        <v>130</v>
      </c>
      <c r="E75" s="90"/>
      <c r="F75" s="90" t="s">
        <v>130</v>
      </c>
      <c r="G75" s="90"/>
      <c r="H75" s="90" t="s">
        <v>130</v>
      </c>
      <c r="I75" s="32"/>
      <c r="J75" s="32"/>
      <c r="K75" s="30"/>
      <c r="L75" s="30"/>
      <c r="M75" s="30"/>
      <c r="N75" s="30"/>
      <c r="O75" s="19">
        <f>COUNTA(B75:N77)</f>
        <v>11</v>
      </c>
      <c r="P75" s="103">
        <v>63</v>
      </c>
    </row>
    <row r="76" spans="2:16" x14ac:dyDescent="0.15">
      <c r="B76" s="89"/>
      <c r="C76" s="90" t="s">
        <v>204</v>
      </c>
      <c r="D76" s="90"/>
      <c r="E76" s="90" t="s">
        <v>204</v>
      </c>
      <c r="F76" s="90"/>
      <c r="G76" s="90" t="s">
        <v>204</v>
      </c>
      <c r="H76" s="90"/>
      <c r="I76" s="32"/>
      <c r="J76" s="32"/>
      <c r="K76" s="30"/>
      <c r="L76" s="30"/>
      <c r="M76" s="30"/>
      <c r="N76" s="30"/>
      <c r="O76" s="94">
        <v>3</v>
      </c>
      <c r="P76" s="101"/>
    </row>
    <row r="77" spans="2:16" x14ac:dyDescent="0.15">
      <c r="B77" s="89" t="s">
        <v>130</v>
      </c>
      <c r="C77" s="90"/>
      <c r="D77" s="90" t="s">
        <v>130</v>
      </c>
      <c r="E77" s="90"/>
      <c r="F77" s="90" t="s">
        <v>130</v>
      </c>
      <c r="G77" s="90"/>
      <c r="H77" s="90" t="s">
        <v>130</v>
      </c>
      <c r="I77" s="32"/>
      <c r="J77" s="32"/>
      <c r="K77" s="30"/>
      <c r="L77" s="30"/>
      <c r="M77" s="30"/>
      <c r="N77" s="30"/>
      <c r="O77" s="20"/>
      <c r="P77" s="101"/>
    </row>
    <row r="78" spans="2:16" x14ac:dyDescent="0.15">
      <c r="B78" s="29"/>
      <c r="C78" s="31"/>
      <c r="D78" s="31"/>
      <c r="E78" s="31"/>
      <c r="F78" s="31"/>
      <c r="G78" s="31"/>
      <c r="H78" s="31"/>
      <c r="I78" s="31"/>
      <c r="J78" s="31"/>
      <c r="K78" s="30"/>
      <c r="L78" s="30"/>
      <c r="M78" s="30"/>
      <c r="N78" s="30"/>
      <c r="O78" s="18"/>
      <c r="P78" s="101"/>
    </row>
    <row r="79" spans="2:16" x14ac:dyDescent="0.15">
      <c r="B79" s="89" t="s">
        <v>130</v>
      </c>
      <c r="C79" s="90"/>
      <c r="D79" s="90" t="s">
        <v>130</v>
      </c>
      <c r="E79" s="90"/>
      <c r="F79" s="90" t="s">
        <v>130</v>
      </c>
      <c r="G79" s="32"/>
      <c r="H79" s="32"/>
      <c r="I79" s="32"/>
      <c r="J79" s="32"/>
      <c r="K79" s="30"/>
      <c r="L79" s="30"/>
      <c r="M79" s="30"/>
      <c r="N79" s="30"/>
      <c r="O79" s="19">
        <f>COUNTA(B79:N81)</f>
        <v>8</v>
      </c>
      <c r="P79" s="103">
        <v>43</v>
      </c>
    </row>
    <row r="80" spans="2:16" x14ac:dyDescent="0.15">
      <c r="B80" s="89"/>
      <c r="C80" s="90" t="s">
        <v>204</v>
      </c>
      <c r="D80" s="90"/>
      <c r="E80" s="90" t="s">
        <v>204</v>
      </c>
      <c r="F80" s="90"/>
      <c r="G80" s="32"/>
      <c r="H80" s="32"/>
      <c r="I80" s="32"/>
      <c r="J80" s="32"/>
      <c r="K80" s="30"/>
      <c r="L80" s="30"/>
      <c r="M80" s="30"/>
      <c r="N80" s="30"/>
      <c r="O80" s="94">
        <v>2</v>
      </c>
      <c r="P80" s="101"/>
    </row>
    <row r="81" spans="2:16" x14ac:dyDescent="0.15">
      <c r="B81" s="89" t="s">
        <v>130</v>
      </c>
      <c r="C81" s="90"/>
      <c r="D81" s="90" t="s">
        <v>130</v>
      </c>
      <c r="E81" s="90"/>
      <c r="F81" s="90" t="s">
        <v>130</v>
      </c>
      <c r="G81" s="32"/>
      <c r="H81" s="32"/>
      <c r="I81" s="32"/>
      <c r="J81" s="32"/>
      <c r="K81" s="30"/>
      <c r="L81" s="30"/>
      <c r="M81" s="30"/>
      <c r="N81" s="30"/>
      <c r="O81" s="20"/>
      <c r="P81" s="101"/>
    </row>
    <row r="82" spans="2:16" x14ac:dyDescent="0.15">
      <c r="B82" s="29"/>
      <c r="C82" s="31"/>
      <c r="D82" s="31"/>
      <c r="E82" s="31"/>
      <c r="F82" s="31"/>
      <c r="G82" s="31"/>
      <c r="H82" s="31"/>
      <c r="I82" s="31"/>
      <c r="J82" s="31"/>
      <c r="K82" s="30"/>
      <c r="L82" s="30"/>
      <c r="M82" s="30"/>
      <c r="N82" s="30"/>
      <c r="O82" s="18"/>
      <c r="P82" s="101"/>
    </row>
    <row r="83" spans="2:16" x14ac:dyDescent="0.15">
      <c r="B83" s="89" t="s">
        <v>130</v>
      </c>
      <c r="C83" s="90"/>
      <c r="D83" s="90" t="s">
        <v>130</v>
      </c>
      <c r="E83" s="32"/>
      <c r="F83" s="32"/>
      <c r="G83" s="32"/>
      <c r="H83" s="32"/>
      <c r="I83" s="32"/>
      <c r="J83" s="32"/>
      <c r="K83" s="30"/>
      <c r="L83" s="30"/>
      <c r="M83" s="30"/>
      <c r="N83" s="30"/>
      <c r="O83" s="19">
        <f>COUNTA(B83:N85)</f>
        <v>5</v>
      </c>
      <c r="P83" s="103">
        <v>23</v>
      </c>
    </row>
    <row r="84" spans="2:16" x14ac:dyDescent="0.15">
      <c r="B84" s="89"/>
      <c r="C84" s="90" t="s">
        <v>204</v>
      </c>
      <c r="D84" s="90"/>
      <c r="E84" s="32"/>
      <c r="F84" s="32"/>
      <c r="G84" s="32"/>
      <c r="H84" s="32"/>
      <c r="I84" s="32"/>
      <c r="J84" s="32"/>
      <c r="K84" s="30"/>
      <c r="L84" s="30"/>
      <c r="M84" s="30"/>
      <c r="N84" s="30"/>
      <c r="O84" s="94">
        <v>1</v>
      </c>
      <c r="P84" s="101"/>
    </row>
    <row r="85" spans="2:16" ht="14" thickBot="1" x14ac:dyDescent="0.2">
      <c r="B85" s="91" t="s">
        <v>130</v>
      </c>
      <c r="C85" s="92"/>
      <c r="D85" s="92" t="s">
        <v>130</v>
      </c>
      <c r="E85" s="38"/>
      <c r="F85" s="38"/>
      <c r="G85" s="38"/>
      <c r="H85" s="38"/>
      <c r="I85" s="38"/>
      <c r="J85" s="38"/>
      <c r="K85" s="93"/>
      <c r="L85" s="93"/>
      <c r="M85" s="93"/>
      <c r="N85" s="93"/>
      <c r="O85" s="21"/>
      <c r="P85" s="104"/>
    </row>
    <row r="86" spans="2:16" x14ac:dyDescent="0.15">
      <c r="C86" s="31"/>
      <c r="D86" s="31"/>
      <c r="E86" s="31"/>
      <c r="F86" s="31"/>
      <c r="G86" s="31"/>
      <c r="H86" s="31"/>
      <c r="I86" s="31"/>
      <c r="J86" s="31"/>
      <c r="K86" s="30"/>
      <c r="L86" s="30"/>
      <c r="M86" s="30"/>
      <c r="N86" s="30"/>
    </row>
  </sheetData>
  <mergeCells count="1">
    <mergeCell ref="B5:N5"/>
  </mergeCells>
  <phoneticPr fontId="2" type="noConversion"/>
  <pageMargins left="0.75" right="0.75" top="0.5" bottom="0.5" header="0.5" footer="0.5"/>
  <pageSetup scale="40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B3:M104"/>
  <sheetViews>
    <sheetView workbookViewId="0">
      <selection activeCell="K13" sqref="K13"/>
    </sheetView>
  </sheetViews>
  <sheetFormatPr baseColWidth="10" defaultColWidth="8.83203125" defaultRowHeight="13" x14ac:dyDescent="0.15"/>
  <cols>
    <col min="1" max="1" customWidth="true" width="3.6640625" collapsed="true"/>
    <col min="4" max="4" customWidth="true" width="27.6640625" collapsed="true"/>
    <col min="5" max="5" customWidth="true" width="10.6640625" collapsed="true"/>
    <col min="7" max="9" customWidth="true" width="10.6640625" collapsed="true"/>
    <col min="11" max="11" customWidth="true" width="19.6640625" collapsed="true"/>
  </cols>
  <sheetData>
    <row r="3" spans="2:13" ht="39" x14ac:dyDescent="0.15">
      <c r="B3" s="4" t="s">
        <v>66</v>
      </c>
      <c r="C3" s="22" t="s">
        <v>106</v>
      </c>
      <c r="D3" s="5" t="s">
        <v>82</v>
      </c>
      <c r="E3" s="8" t="s">
        <v>245</v>
      </c>
      <c r="F3" s="85" t="s">
        <v>219</v>
      </c>
      <c r="G3" s="87" t="s">
        <v>266</v>
      </c>
      <c r="H3" s="22" t="s">
        <v>372</v>
      </c>
      <c r="I3" s="22" t="s">
        <v>377</v>
      </c>
      <c r="K3" s="4" t="s">
        <v>258</v>
      </c>
      <c r="L3" s="4" t="s">
        <v>379</v>
      </c>
      <c r="M3" s="4" t="s">
        <v>380</v>
      </c>
    </row>
    <row r="4" spans="2:13" x14ac:dyDescent="0.15">
      <c r="B4" s="1" t="s">
        <v>67</v>
      </c>
      <c r="C4" s="106" t="s">
        <v>67</v>
      </c>
      <c r="D4" s="10" t="s">
        <v>243</v>
      </c>
      <c r="E4" s="105">
        <v>1</v>
      </c>
      <c r="F4" s="107">
        <v>2</v>
      </c>
      <c r="G4" s="188" t="s">
        <v>267</v>
      </c>
      <c r="H4" s="231" t="s">
        <v>267</v>
      </c>
      <c r="I4" s="6">
        <v>12</v>
      </c>
      <c r="K4" s="109" t="s">
        <v>476</v>
      </c>
      <c r="L4" s="301">
        <v>0.05</v>
      </c>
      <c r="M4" s="1" t="s">
        <v>265</v>
      </c>
    </row>
    <row r="5" spans="2:13" x14ac:dyDescent="0.15">
      <c r="B5" s="1" t="s">
        <v>68</v>
      </c>
      <c r="C5" s="106" t="s">
        <v>68</v>
      </c>
      <c r="D5" s="10" t="s">
        <v>244</v>
      </c>
      <c r="E5" s="105">
        <v>1.4</v>
      </c>
      <c r="F5" s="107">
        <v>4</v>
      </c>
      <c r="G5" s="188" t="s">
        <v>268</v>
      </c>
      <c r="H5" s="231" t="s">
        <v>268</v>
      </c>
      <c r="I5" s="6">
        <v>13</v>
      </c>
      <c r="K5" s="109" t="s">
        <v>478</v>
      </c>
      <c r="L5" s="300">
        <f>L4+0.0005</f>
        <v>5.0500000000000003E-2</v>
      </c>
      <c r="M5" s="1" t="s">
        <v>68</v>
      </c>
    </row>
    <row r="6" spans="2:13" x14ac:dyDescent="0.15">
      <c r="D6" s="10"/>
      <c r="E6" s="9"/>
      <c r="F6" s="107">
        <v>6</v>
      </c>
      <c r="G6" s="188" t="s">
        <v>269</v>
      </c>
      <c r="H6" s="231" t="s">
        <v>269</v>
      </c>
      <c r="I6" s="6">
        <v>11</v>
      </c>
      <c r="K6" s="109" t="s">
        <v>470</v>
      </c>
      <c r="L6" s="300">
        <f t="shared" ref="L6:L69" si="0">L5+0.0005</f>
        <v>5.1000000000000004E-2</v>
      </c>
    </row>
    <row r="7" spans="2:13" x14ac:dyDescent="0.15">
      <c r="D7" s="10"/>
      <c r="E7" s="9"/>
      <c r="F7" s="107">
        <v>8</v>
      </c>
      <c r="G7" s="188" t="s">
        <v>270</v>
      </c>
      <c r="H7" s="231" t="s">
        <v>270</v>
      </c>
      <c r="I7" s="6">
        <v>15</v>
      </c>
      <c r="K7" s="109" t="s">
        <v>469</v>
      </c>
      <c r="L7" s="300">
        <f t="shared" si="0"/>
        <v>5.1500000000000004E-2</v>
      </c>
    </row>
    <row r="8" spans="2:13" x14ac:dyDescent="0.15">
      <c r="D8" s="10"/>
      <c r="E8" s="9"/>
      <c r="F8" s="9"/>
      <c r="G8" s="188" t="s">
        <v>271</v>
      </c>
      <c r="H8" s="231" t="s">
        <v>271</v>
      </c>
      <c r="I8" s="6">
        <v>14</v>
      </c>
      <c r="K8" s="109" t="s">
        <v>391</v>
      </c>
      <c r="L8" s="300">
        <f t="shared" si="0"/>
        <v>5.2000000000000005E-2</v>
      </c>
    </row>
    <row r="9" spans="2:13" x14ac:dyDescent="0.15">
      <c r="D9" s="10"/>
      <c r="E9" s="9"/>
      <c r="F9" s="9"/>
      <c r="G9" s="188" t="s">
        <v>272</v>
      </c>
      <c r="H9" s="231" t="s">
        <v>272</v>
      </c>
      <c r="I9" s="6">
        <v>14</v>
      </c>
      <c r="K9" s="109" t="s">
        <v>484</v>
      </c>
      <c r="L9" s="300">
        <f t="shared" si="0"/>
        <v>5.2500000000000005E-2</v>
      </c>
    </row>
    <row r="10" spans="2:13" x14ac:dyDescent="0.15">
      <c r="D10" s="10"/>
      <c r="E10" s="9"/>
      <c r="F10" s="9"/>
      <c r="G10" s="188" t="s">
        <v>273</v>
      </c>
      <c r="H10" s="231" t="s">
        <v>273</v>
      </c>
      <c r="I10" s="6">
        <v>16</v>
      </c>
      <c r="K10" s="109" t="s">
        <v>481</v>
      </c>
      <c r="L10" s="300">
        <f t="shared" si="0"/>
        <v>5.3000000000000005E-2</v>
      </c>
    </row>
    <row r="11" spans="2:13" x14ac:dyDescent="0.15">
      <c r="D11" s="10"/>
      <c r="E11" s="9"/>
      <c r="F11" s="9"/>
      <c r="G11" s="188" t="s">
        <v>274</v>
      </c>
      <c r="H11" s="231" t="s">
        <v>274</v>
      </c>
      <c r="I11" s="6">
        <v>17</v>
      </c>
      <c r="K11" s="109" t="s">
        <v>474</v>
      </c>
      <c r="L11" s="300">
        <f t="shared" si="0"/>
        <v>5.3500000000000006E-2</v>
      </c>
    </row>
    <row r="12" spans="2:13" x14ac:dyDescent="0.15">
      <c r="K12" s="109" t="s">
        <v>491</v>
      </c>
      <c r="L12" s="300">
        <f t="shared" si="0"/>
        <v>5.4000000000000006E-2</v>
      </c>
    </row>
    <row r="13" spans="2:13" x14ac:dyDescent="0.15">
      <c r="K13" s="109" t="s">
        <v>471</v>
      </c>
      <c r="L13" s="300">
        <f t="shared" si="0"/>
        <v>5.4500000000000007E-2</v>
      </c>
    </row>
    <row r="14" spans="2:13" x14ac:dyDescent="0.15">
      <c r="K14" s="109" t="s">
        <v>395</v>
      </c>
      <c r="L14" s="300">
        <f t="shared" si="0"/>
        <v>5.5000000000000007E-2</v>
      </c>
    </row>
    <row r="15" spans="2:13" x14ac:dyDescent="0.15">
      <c r="K15" s="109" t="s">
        <v>475</v>
      </c>
      <c r="L15" s="300">
        <f t="shared" si="0"/>
        <v>5.5500000000000008E-2</v>
      </c>
    </row>
    <row r="16" spans="2:13" x14ac:dyDescent="0.15">
      <c r="D16" s="109"/>
      <c r="K16" s="109" t="s">
        <v>482</v>
      </c>
      <c r="L16" s="300">
        <f t="shared" si="0"/>
        <v>5.6000000000000008E-2</v>
      </c>
    </row>
    <row r="17" spans="11:12" x14ac:dyDescent="0.15">
      <c r="K17" s="109" t="s">
        <v>394</v>
      </c>
      <c r="L17" s="300">
        <f t="shared" si="0"/>
        <v>5.6500000000000009E-2</v>
      </c>
    </row>
    <row r="18" spans="11:12" x14ac:dyDescent="0.15">
      <c r="K18" s="109" t="s">
        <v>479</v>
      </c>
      <c r="L18" s="300">
        <f t="shared" si="0"/>
        <v>5.7000000000000009E-2</v>
      </c>
    </row>
    <row r="19" spans="11:12" x14ac:dyDescent="0.15">
      <c r="K19" s="109" t="s">
        <v>396</v>
      </c>
      <c r="L19" s="300">
        <f t="shared" si="0"/>
        <v>5.7500000000000009E-2</v>
      </c>
    </row>
    <row r="20" spans="11:12" x14ac:dyDescent="0.15">
      <c r="K20" s="109" t="s">
        <v>473</v>
      </c>
      <c r="L20" s="300">
        <f t="shared" si="0"/>
        <v>5.800000000000001E-2</v>
      </c>
    </row>
    <row r="21" spans="11:12" x14ac:dyDescent="0.15">
      <c r="K21" s="109" t="s">
        <v>472</v>
      </c>
      <c r="L21" s="300">
        <f t="shared" si="0"/>
        <v>5.850000000000001E-2</v>
      </c>
    </row>
    <row r="22" spans="11:12" x14ac:dyDescent="0.15">
      <c r="K22" s="109" t="s">
        <v>480</v>
      </c>
      <c r="L22" s="300">
        <f t="shared" si="0"/>
        <v>5.9000000000000011E-2</v>
      </c>
    </row>
    <row r="23" spans="11:12" x14ac:dyDescent="0.15">
      <c r="K23" s="109" t="s">
        <v>483</v>
      </c>
      <c r="L23" s="300">
        <f t="shared" si="0"/>
        <v>5.9500000000000011E-2</v>
      </c>
    </row>
    <row r="24" spans="11:12" x14ac:dyDescent="0.15">
      <c r="K24" s="109" t="s">
        <v>392</v>
      </c>
      <c r="L24" s="300">
        <f t="shared" si="0"/>
        <v>6.0000000000000012E-2</v>
      </c>
    </row>
    <row r="25" spans="11:12" x14ac:dyDescent="0.15">
      <c r="K25" s="109" t="s">
        <v>393</v>
      </c>
      <c r="L25" s="300">
        <f t="shared" si="0"/>
        <v>6.0500000000000012E-2</v>
      </c>
    </row>
    <row r="26" spans="11:12" x14ac:dyDescent="0.15">
      <c r="K26" s="109" t="s">
        <v>390</v>
      </c>
      <c r="L26" s="300">
        <f t="shared" si="0"/>
        <v>6.1000000000000013E-2</v>
      </c>
    </row>
    <row r="27" spans="11:12" x14ac:dyDescent="0.15">
      <c r="K27" s="109" t="s">
        <v>397</v>
      </c>
      <c r="L27" s="300">
        <f t="shared" si="0"/>
        <v>6.1500000000000013E-2</v>
      </c>
    </row>
    <row r="28" spans="11:12" x14ac:dyDescent="0.15">
      <c r="K28" s="109" t="s">
        <v>84</v>
      </c>
      <c r="L28" s="300">
        <f t="shared" si="0"/>
        <v>6.2000000000000013E-2</v>
      </c>
    </row>
    <row r="29" spans="11:12" x14ac:dyDescent="0.15">
      <c r="K29" s="109" t="s">
        <v>477</v>
      </c>
      <c r="L29" s="300">
        <f t="shared" si="0"/>
        <v>6.2500000000000014E-2</v>
      </c>
    </row>
    <row r="30" spans="11:12" x14ac:dyDescent="0.15">
      <c r="L30" s="300">
        <f t="shared" si="0"/>
        <v>6.3000000000000014E-2</v>
      </c>
    </row>
    <row r="31" spans="11:12" x14ac:dyDescent="0.15">
      <c r="L31" s="300">
        <f t="shared" si="0"/>
        <v>6.3500000000000015E-2</v>
      </c>
    </row>
    <row r="32" spans="11:12" x14ac:dyDescent="0.15">
      <c r="L32" s="300">
        <f t="shared" si="0"/>
        <v>6.4000000000000015E-2</v>
      </c>
    </row>
    <row r="33" spans="12:12" x14ac:dyDescent="0.15">
      <c r="L33" s="300">
        <f t="shared" si="0"/>
        <v>6.4500000000000016E-2</v>
      </c>
    </row>
    <row r="34" spans="12:12" x14ac:dyDescent="0.15">
      <c r="L34" s="300">
        <f t="shared" si="0"/>
        <v>6.5000000000000016E-2</v>
      </c>
    </row>
    <row r="35" spans="12:12" x14ac:dyDescent="0.15">
      <c r="L35" s="300">
        <f t="shared" si="0"/>
        <v>6.5500000000000017E-2</v>
      </c>
    </row>
    <row r="36" spans="12:12" x14ac:dyDescent="0.15">
      <c r="L36" s="300">
        <f t="shared" si="0"/>
        <v>6.6000000000000017E-2</v>
      </c>
    </row>
    <row r="37" spans="12:12" x14ac:dyDescent="0.15">
      <c r="L37" s="300">
        <f t="shared" si="0"/>
        <v>6.6500000000000017E-2</v>
      </c>
    </row>
    <row r="38" spans="12:12" x14ac:dyDescent="0.15">
      <c r="L38" s="300">
        <f t="shared" si="0"/>
        <v>6.7000000000000018E-2</v>
      </c>
    </row>
    <row r="39" spans="12:12" x14ac:dyDescent="0.15">
      <c r="L39" s="300">
        <f t="shared" si="0"/>
        <v>6.7500000000000018E-2</v>
      </c>
    </row>
    <row r="40" spans="12:12" x14ac:dyDescent="0.15">
      <c r="L40" s="300">
        <f t="shared" si="0"/>
        <v>6.8000000000000019E-2</v>
      </c>
    </row>
    <row r="41" spans="12:12" x14ac:dyDescent="0.15">
      <c r="L41" s="300">
        <f t="shared" si="0"/>
        <v>6.8500000000000019E-2</v>
      </c>
    </row>
    <row r="42" spans="12:12" x14ac:dyDescent="0.15">
      <c r="L42" s="300">
        <f t="shared" si="0"/>
        <v>6.900000000000002E-2</v>
      </c>
    </row>
    <row r="43" spans="12:12" x14ac:dyDescent="0.15">
      <c r="L43" s="300">
        <f t="shared" si="0"/>
        <v>6.950000000000002E-2</v>
      </c>
    </row>
    <row r="44" spans="12:12" x14ac:dyDescent="0.15">
      <c r="L44" s="300">
        <f t="shared" si="0"/>
        <v>7.0000000000000021E-2</v>
      </c>
    </row>
    <row r="45" spans="12:12" x14ac:dyDescent="0.15">
      <c r="L45" s="300">
        <f t="shared" si="0"/>
        <v>7.0500000000000021E-2</v>
      </c>
    </row>
    <row r="46" spans="12:12" x14ac:dyDescent="0.15">
      <c r="L46" s="300">
        <f t="shared" si="0"/>
        <v>7.1000000000000021E-2</v>
      </c>
    </row>
    <row r="47" spans="12:12" x14ac:dyDescent="0.15">
      <c r="L47" s="300">
        <f t="shared" si="0"/>
        <v>7.1500000000000022E-2</v>
      </c>
    </row>
    <row r="48" spans="12:12" x14ac:dyDescent="0.15">
      <c r="L48" s="300">
        <f t="shared" si="0"/>
        <v>7.2000000000000022E-2</v>
      </c>
    </row>
    <row r="49" spans="12:12" x14ac:dyDescent="0.15">
      <c r="L49" s="300">
        <f t="shared" si="0"/>
        <v>7.2500000000000023E-2</v>
      </c>
    </row>
    <row r="50" spans="12:12" x14ac:dyDescent="0.15">
      <c r="L50" s="300">
        <f t="shared" si="0"/>
        <v>7.3000000000000023E-2</v>
      </c>
    </row>
    <row r="51" spans="12:12" x14ac:dyDescent="0.15">
      <c r="L51" s="300">
        <f t="shared" si="0"/>
        <v>7.3500000000000024E-2</v>
      </c>
    </row>
    <row r="52" spans="12:12" x14ac:dyDescent="0.15">
      <c r="L52" s="300">
        <f t="shared" si="0"/>
        <v>7.4000000000000024E-2</v>
      </c>
    </row>
    <row r="53" spans="12:12" x14ac:dyDescent="0.15">
      <c r="L53" s="300">
        <f t="shared" si="0"/>
        <v>7.4500000000000025E-2</v>
      </c>
    </row>
    <row r="54" spans="12:12" x14ac:dyDescent="0.15">
      <c r="L54" s="300">
        <f t="shared" si="0"/>
        <v>7.5000000000000025E-2</v>
      </c>
    </row>
    <row r="55" spans="12:12" x14ac:dyDescent="0.15">
      <c r="L55" s="300">
        <f t="shared" si="0"/>
        <v>7.5500000000000025E-2</v>
      </c>
    </row>
    <row r="56" spans="12:12" x14ac:dyDescent="0.15">
      <c r="L56" s="300">
        <f t="shared" si="0"/>
        <v>7.6000000000000026E-2</v>
      </c>
    </row>
    <row r="57" spans="12:12" x14ac:dyDescent="0.15">
      <c r="L57" s="300">
        <f t="shared" si="0"/>
        <v>7.6500000000000026E-2</v>
      </c>
    </row>
    <row r="58" spans="12:12" x14ac:dyDescent="0.15">
      <c r="L58" s="300">
        <f t="shared" si="0"/>
        <v>7.7000000000000027E-2</v>
      </c>
    </row>
    <row r="59" spans="12:12" x14ac:dyDescent="0.15">
      <c r="L59" s="300">
        <f t="shared" si="0"/>
        <v>7.7500000000000027E-2</v>
      </c>
    </row>
    <row r="60" spans="12:12" x14ac:dyDescent="0.15">
      <c r="L60" s="300">
        <f t="shared" si="0"/>
        <v>7.8000000000000028E-2</v>
      </c>
    </row>
    <row r="61" spans="12:12" x14ac:dyDescent="0.15">
      <c r="L61" s="300">
        <f t="shared" si="0"/>
        <v>7.8500000000000028E-2</v>
      </c>
    </row>
    <row r="62" spans="12:12" x14ac:dyDescent="0.15">
      <c r="L62" s="300">
        <f t="shared" si="0"/>
        <v>7.9000000000000029E-2</v>
      </c>
    </row>
    <row r="63" spans="12:12" x14ac:dyDescent="0.15">
      <c r="L63" s="300">
        <f t="shared" si="0"/>
        <v>7.9500000000000029E-2</v>
      </c>
    </row>
    <row r="64" spans="12:12" x14ac:dyDescent="0.15">
      <c r="L64" s="300">
        <f t="shared" si="0"/>
        <v>8.0000000000000029E-2</v>
      </c>
    </row>
    <row r="65" spans="12:12" x14ac:dyDescent="0.15">
      <c r="L65" s="300">
        <f t="shared" si="0"/>
        <v>8.050000000000003E-2</v>
      </c>
    </row>
    <row r="66" spans="12:12" x14ac:dyDescent="0.15">
      <c r="L66" s="300">
        <f t="shared" si="0"/>
        <v>8.100000000000003E-2</v>
      </c>
    </row>
    <row r="67" spans="12:12" x14ac:dyDescent="0.15">
      <c r="L67" s="300">
        <f t="shared" si="0"/>
        <v>8.1500000000000031E-2</v>
      </c>
    </row>
    <row r="68" spans="12:12" x14ac:dyDescent="0.15">
      <c r="L68" s="300">
        <f t="shared" si="0"/>
        <v>8.2000000000000031E-2</v>
      </c>
    </row>
    <row r="69" spans="12:12" x14ac:dyDescent="0.15">
      <c r="L69" s="300">
        <f t="shared" si="0"/>
        <v>8.2500000000000032E-2</v>
      </c>
    </row>
    <row r="70" spans="12:12" x14ac:dyDescent="0.15">
      <c r="L70" s="300">
        <f t="shared" ref="L70:L104" si="1">L69+0.0005</f>
        <v>8.3000000000000032E-2</v>
      </c>
    </row>
    <row r="71" spans="12:12" x14ac:dyDescent="0.15">
      <c r="L71" s="300">
        <f t="shared" si="1"/>
        <v>8.3500000000000033E-2</v>
      </c>
    </row>
    <row r="72" spans="12:12" x14ac:dyDescent="0.15">
      <c r="L72" s="300">
        <f t="shared" si="1"/>
        <v>8.4000000000000033E-2</v>
      </c>
    </row>
    <row r="73" spans="12:12" x14ac:dyDescent="0.15">
      <c r="L73" s="300">
        <f t="shared" si="1"/>
        <v>8.4500000000000033E-2</v>
      </c>
    </row>
    <row r="74" spans="12:12" x14ac:dyDescent="0.15">
      <c r="L74" s="300">
        <f t="shared" si="1"/>
        <v>8.5000000000000034E-2</v>
      </c>
    </row>
    <row r="75" spans="12:12" x14ac:dyDescent="0.15">
      <c r="L75" s="300">
        <f t="shared" si="1"/>
        <v>8.5500000000000034E-2</v>
      </c>
    </row>
    <row r="76" spans="12:12" x14ac:dyDescent="0.15">
      <c r="L76" s="300">
        <f t="shared" si="1"/>
        <v>8.6000000000000035E-2</v>
      </c>
    </row>
    <row r="77" spans="12:12" x14ac:dyDescent="0.15">
      <c r="L77" s="300">
        <f t="shared" si="1"/>
        <v>8.6500000000000035E-2</v>
      </c>
    </row>
    <row r="78" spans="12:12" x14ac:dyDescent="0.15">
      <c r="L78" s="300">
        <f t="shared" si="1"/>
        <v>8.7000000000000036E-2</v>
      </c>
    </row>
    <row r="79" spans="12:12" x14ac:dyDescent="0.15">
      <c r="L79" s="300">
        <f t="shared" si="1"/>
        <v>8.7500000000000036E-2</v>
      </c>
    </row>
    <row r="80" spans="12:12" x14ac:dyDescent="0.15">
      <c r="L80" s="300">
        <f t="shared" si="1"/>
        <v>8.8000000000000037E-2</v>
      </c>
    </row>
    <row r="81" spans="12:12" x14ac:dyDescent="0.15">
      <c r="L81" s="300">
        <f t="shared" si="1"/>
        <v>8.8500000000000037E-2</v>
      </c>
    </row>
    <row r="82" spans="12:12" x14ac:dyDescent="0.15">
      <c r="L82" s="300">
        <f t="shared" si="1"/>
        <v>8.9000000000000037E-2</v>
      </c>
    </row>
    <row r="83" spans="12:12" x14ac:dyDescent="0.15">
      <c r="L83" s="300">
        <f t="shared" si="1"/>
        <v>8.9500000000000038E-2</v>
      </c>
    </row>
    <row r="84" spans="12:12" x14ac:dyDescent="0.15">
      <c r="L84" s="300">
        <f t="shared" si="1"/>
        <v>9.0000000000000038E-2</v>
      </c>
    </row>
    <row r="85" spans="12:12" x14ac:dyDescent="0.15">
      <c r="L85" s="300">
        <f t="shared" si="1"/>
        <v>9.0500000000000039E-2</v>
      </c>
    </row>
    <row r="86" spans="12:12" x14ac:dyDescent="0.15">
      <c r="L86" s="300">
        <f t="shared" si="1"/>
        <v>9.1000000000000039E-2</v>
      </c>
    </row>
    <row r="87" spans="12:12" x14ac:dyDescent="0.15">
      <c r="L87" s="300">
        <f t="shared" si="1"/>
        <v>9.150000000000004E-2</v>
      </c>
    </row>
    <row r="88" spans="12:12" x14ac:dyDescent="0.15">
      <c r="L88" s="300">
        <f t="shared" si="1"/>
        <v>9.200000000000004E-2</v>
      </c>
    </row>
    <row r="89" spans="12:12" x14ac:dyDescent="0.15">
      <c r="L89" s="300">
        <f t="shared" si="1"/>
        <v>9.2500000000000041E-2</v>
      </c>
    </row>
    <row r="90" spans="12:12" x14ac:dyDescent="0.15">
      <c r="L90" s="300">
        <f t="shared" si="1"/>
        <v>9.3000000000000041E-2</v>
      </c>
    </row>
    <row r="91" spans="12:12" x14ac:dyDescent="0.15">
      <c r="L91" s="300">
        <f t="shared" si="1"/>
        <v>9.3500000000000041E-2</v>
      </c>
    </row>
    <row r="92" spans="12:12" x14ac:dyDescent="0.15">
      <c r="L92" s="300">
        <f t="shared" si="1"/>
        <v>9.4000000000000042E-2</v>
      </c>
    </row>
    <row r="93" spans="12:12" x14ac:dyDescent="0.15">
      <c r="L93" s="300">
        <f t="shared" si="1"/>
        <v>9.4500000000000042E-2</v>
      </c>
    </row>
    <row r="94" spans="12:12" x14ac:dyDescent="0.15">
      <c r="L94" s="300">
        <f t="shared" si="1"/>
        <v>9.5000000000000043E-2</v>
      </c>
    </row>
    <row r="95" spans="12:12" x14ac:dyDescent="0.15">
      <c r="L95" s="300">
        <f t="shared" si="1"/>
        <v>9.5500000000000043E-2</v>
      </c>
    </row>
    <row r="96" spans="12:12" x14ac:dyDescent="0.15">
      <c r="L96" s="300">
        <f t="shared" si="1"/>
        <v>9.6000000000000044E-2</v>
      </c>
    </row>
    <row r="97" spans="12:12" x14ac:dyDescent="0.15">
      <c r="L97" s="300">
        <f t="shared" si="1"/>
        <v>9.6500000000000044E-2</v>
      </c>
    </row>
    <row r="98" spans="12:12" x14ac:dyDescent="0.15">
      <c r="L98" s="300">
        <f t="shared" si="1"/>
        <v>9.7000000000000045E-2</v>
      </c>
    </row>
    <row r="99" spans="12:12" x14ac:dyDescent="0.15">
      <c r="L99" s="300">
        <f t="shared" si="1"/>
        <v>9.7500000000000045E-2</v>
      </c>
    </row>
    <row r="100" spans="12:12" x14ac:dyDescent="0.15">
      <c r="L100" s="300">
        <f t="shared" si="1"/>
        <v>9.8000000000000045E-2</v>
      </c>
    </row>
    <row r="101" spans="12:12" x14ac:dyDescent="0.15">
      <c r="L101" s="300">
        <f t="shared" si="1"/>
        <v>9.8500000000000046E-2</v>
      </c>
    </row>
    <row r="102" spans="12:12" x14ac:dyDescent="0.15">
      <c r="L102" s="300">
        <f t="shared" si="1"/>
        <v>9.9000000000000046E-2</v>
      </c>
    </row>
    <row r="103" spans="12:12" x14ac:dyDescent="0.15">
      <c r="L103" s="300">
        <f t="shared" si="1"/>
        <v>9.9500000000000047E-2</v>
      </c>
    </row>
    <row r="104" spans="12:12" x14ac:dyDescent="0.15">
      <c r="L104" s="300">
        <f t="shared" si="1"/>
        <v>0.10000000000000005</v>
      </c>
    </row>
  </sheetData>
  <phoneticPr fontId="2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OMNI Rate Tables</vt:lpstr>
      <vt:lpstr>Input Specification and Output</vt:lpstr>
      <vt:lpstr>ROC  Execution and Pricing</vt:lpstr>
      <vt:lpstr>Ind Std Execution and Pricing</vt:lpstr>
      <vt:lpstr>Build ROC Job Quote</vt:lpstr>
      <vt:lpstr>Build Industry Std Job Quote</vt:lpstr>
      <vt:lpstr>System Typical BOM Translator</vt:lpstr>
      <vt:lpstr>System Typicals @ Industry Std</vt:lpstr>
      <vt:lpstr>Systems_National Industry Std</vt:lpstr>
      <vt:lpstr>Casegoods_National Industry Std</vt:lpstr>
      <vt:lpstr>Systems Correction Factors</vt:lpstr>
      <vt:lpstr>WS Cluster_Shared Panel Table</vt:lpstr>
      <vt:lpstr>Miscellaneous Parameters</vt:lpstr>
    </vt:vector>
  </TitlesOfParts>
  <Company>HNI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2007-03-12T15:46:20Z</dcterms:created>
  <dc:creator>Thomas H. Dyer</dc:creator>
  <cp:lastModifiedBy>Microsoft Office User</cp:lastModifiedBy>
  <cp:lastPrinted>2007-11-09T22:10:39Z</cp:lastPrinted>
  <dcterms:modified xsi:type="dcterms:W3CDTF">2016-09-30T20:55:32Z</dcterms:modified>
</cp:coreProperties>
</file>